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1" ContentType="application/binary"/>
  <Override PartName="/xl/commentsmeta0" ContentType="application/binary"/>
  <Override PartName="/xl/commentsmeta4" ContentType="application/binary"/>
  <Override PartName="/xl/commentsmeta3" ContentType="application/binary"/>
  <Override PartName="/xl/commentsmeta2" ContentType="application/binary"/>
  <Override PartName="/xl/commentsmeta5"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00000000-0000-0000-0000-000000000000}"/>
  <workbookPr/>
  <mc:AlternateContent xmlns:mc="http://schemas.openxmlformats.org/markup-compatibility/2006">
    <mc:Choice Requires="x15">
      <x15ac:absPath xmlns:x15ac="http://schemas.microsoft.com/office/spreadsheetml/2010/11/ac" url="C:\Users\isaac\Downloads\"/>
    </mc:Choice>
  </mc:AlternateContent>
  <xr:revisionPtr revIDLastSave="0" documentId="13_ncr:1_{44CEBC71-8AEF-482F-B81A-A3E1B83CB6D9}" xr6:coauthVersionLast="45" xr6:coauthVersionMax="45" xr10:uidLastSave="{00000000-0000-0000-0000-000000000000}"/>
  <bookViews>
    <workbookView xWindow="-120" yWindow="-120" windowWidth="29040" windowHeight="15840" activeTab="1" xr2:uid="{00000000-000D-0000-FFFF-FFFF00000000}"/>
  </bookViews>
  <sheets>
    <sheet name="Instructions" sheetId="1" r:id="rId1"/>
    <sheet name="Under $10k" sheetId="2" r:id="rId2"/>
    <sheet name="Soft Bid" sheetId="3" r:id="rId3"/>
    <sheet name="Open Bid" sheetId="4" r:id="rId4"/>
    <sheet name="Sole Source" sheetId="5" r:id="rId5"/>
    <sheet name="Contractor" sheetId="6" r:id="rId6"/>
    <sheet name="Database" sheetId="7" r:id="rId7"/>
    <sheet name="Sheet3" sheetId="8" state="hidden"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uri="GoogleSheetsCustomDataVersion1">
      <go:sheetsCustomData xmlns:go="http://customooxmlschemas.google.com/" r:id="rId13" roundtripDataSignature="AMtx7mgJa1+xqBPyY2AxkDg+iFEIOm1hrA=="/>
    </ext>
  </extLst>
</workbook>
</file>

<file path=xl/calcChain.xml><?xml version="1.0" encoding="utf-8"?>
<calcChain xmlns="http://schemas.openxmlformats.org/spreadsheetml/2006/main">
  <c r="N7" i="7" l="1"/>
  <c r="M7" i="7"/>
  <c r="L7" i="7"/>
  <c r="K7" i="7"/>
  <c r="E7" i="7"/>
  <c r="D7" i="7"/>
  <c r="N6" i="7"/>
  <c r="M6" i="7"/>
  <c r="L6" i="7"/>
  <c r="K6" i="7"/>
  <c r="I6" i="7"/>
  <c r="F6" i="7"/>
  <c r="E6" i="7"/>
  <c r="D6" i="7"/>
  <c r="N5" i="7"/>
  <c r="M5" i="7"/>
  <c r="L5" i="7"/>
  <c r="K5" i="7"/>
  <c r="J5" i="7"/>
  <c r="I5" i="7"/>
  <c r="E5" i="7"/>
  <c r="D5" i="7"/>
  <c r="N4" i="7"/>
  <c r="M4" i="7"/>
  <c r="L4" i="7"/>
  <c r="K4" i="7"/>
  <c r="I4" i="7"/>
  <c r="F4" i="7"/>
  <c r="E4" i="7"/>
  <c r="D4" i="7"/>
  <c r="N3" i="7"/>
  <c r="M3" i="7"/>
  <c r="L3" i="7"/>
  <c r="K3" i="7"/>
  <c r="I3" i="7"/>
  <c r="F3" i="7"/>
  <c r="E3" i="7"/>
  <c r="D3" i="7"/>
  <c r="D21" i="6"/>
  <c r="J7" i="7" s="1"/>
  <c r="G1" i="6"/>
  <c r="E54" i="5"/>
  <c r="J6" i="7" s="1"/>
  <c r="B20" i="5"/>
  <c r="B18" i="5"/>
  <c r="B10" i="5"/>
  <c r="G1" i="5"/>
  <c r="B18" i="4"/>
  <c r="G1" i="4"/>
  <c r="E59" i="3"/>
  <c r="J4" i="7" s="1"/>
  <c r="B15" i="3"/>
  <c r="G1" i="3"/>
  <c r="E58" i="2"/>
  <c r="J3" i="7" s="1"/>
  <c r="B16" i="2"/>
  <c r="A61" i="1"/>
  <c r="A60" i="1"/>
  <c r="A59" i="1"/>
  <c r="A58" i="1"/>
  <c r="A57" i="1"/>
  <c r="A56" i="1"/>
  <c r="A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6" authorId="0" shapeId="0" xr:uid="{00000000-0006-0000-0100-000001000000}">
      <text>
        <r>
          <rPr>
            <sz val="11"/>
            <color theme="1"/>
            <rFont val="Arial"/>
          </rPr>
          <t>======
ID#AAAAJNaVyrU
Horne, Megan    (2020-03-16 19:57:51)
This is the charge where the purchased items will be placed.</t>
        </r>
      </text>
    </comment>
    <comment ref="B7" authorId="0" shapeId="0" xr:uid="{00000000-0006-0000-0100-000002000000}">
      <text>
        <r>
          <rPr>
            <sz val="11"/>
            <color theme="1"/>
            <rFont val="Arial"/>
          </rPr>
          <t>======
ID#AAAAJNaVyqw
Horne, Megan    (2020-03-16 19:57:51)
This is the charge where the purchaser will charge time to place the order.</t>
        </r>
      </text>
    </comment>
  </commentList>
  <extLst>
    <ext xmlns:r="http://schemas.openxmlformats.org/officeDocument/2006/relationships" uri="GoogleSheetsCustomDataVersion1">
      <go:sheetsCustomData xmlns:go="http://customooxmlschemas.google.com/" r:id="rId1" roundtripDataSignature="AMtx7miQOIErMJjGH1nn5ESLVvm8RjDrH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6" authorId="0" shapeId="0" xr:uid="{00000000-0006-0000-0200-000002000000}">
      <text>
        <r>
          <rPr>
            <sz val="11"/>
            <color theme="1"/>
            <rFont val="Arial"/>
          </rPr>
          <t>======
ID#AAAAJNaVyq8
Horne, Megan    (2020-03-16 19:57:51)
This is the charge where the purchased items will be placed.</t>
        </r>
      </text>
    </comment>
    <comment ref="B7" authorId="0" shapeId="0" xr:uid="{00000000-0006-0000-0200-000001000000}">
      <text>
        <r>
          <rPr>
            <sz val="11"/>
            <color theme="1"/>
            <rFont val="Arial"/>
          </rPr>
          <t>======
ID#AAAAJNaVyrI
Horne, Megan    (2020-03-16 19:57:51)
This is the charge where the purchaser will charge time to place the order.</t>
        </r>
      </text>
    </comment>
  </commentList>
  <extLst>
    <ext xmlns:r="http://schemas.openxmlformats.org/officeDocument/2006/relationships" uri="GoogleSheetsCustomDataVersion1">
      <go:sheetsCustomData xmlns:go="http://customooxmlschemas.google.com/" r:id="rId1" roundtripDataSignature="AMtx7mhjheMqwwRwcaUwMqeTgVNF9yaA9w=="/>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6" authorId="0" shapeId="0" xr:uid="{00000000-0006-0000-0300-000002000000}">
      <text>
        <r>
          <rPr>
            <sz val="11"/>
            <color theme="1"/>
            <rFont val="Arial"/>
          </rPr>
          <t>======
ID#AAAAJNaVyrA
Horne, Megan    (2020-03-16 19:57:51)
This is the charge where the purchased items will be placed.</t>
        </r>
      </text>
    </comment>
    <comment ref="B7" authorId="0" shapeId="0" xr:uid="{00000000-0006-0000-0300-000001000000}">
      <text>
        <r>
          <rPr>
            <sz val="11"/>
            <color theme="1"/>
            <rFont val="Arial"/>
          </rPr>
          <t>======
ID#AAAAJNaVyrQ
Horne, Megan    (2020-03-16 19:57:51)
This is the charge where the purchaser will charge time to place the order.</t>
        </r>
      </text>
    </comment>
  </commentList>
  <extLst>
    <ext xmlns:r="http://schemas.openxmlformats.org/officeDocument/2006/relationships" uri="GoogleSheetsCustomDataVersion1">
      <go:sheetsCustomData xmlns:go="http://customooxmlschemas.google.com/" r:id="rId1" roundtripDataSignature="AMtx7mi0hsaUxGdQ9iwrijKxj2ShXtHuAg=="/>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6" authorId="0" shapeId="0" xr:uid="{00000000-0006-0000-0400-000001000000}">
      <text>
        <r>
          <rPr>
            <sz val="11"/>
            <color theme="1"/>
            <rFont val="Arial"/>
          </rPr>
          <t>======
ID#AAAAJNaVyrM
Horne, Megan    (2020-03-16 19:57:51)
This is the charge where the purchased items will be placed.</t>
        </r>
      </text>
    </comment>
    <comment ref="B7" authorId="0" shapeId="0" xr:uid="{00000000-0006-0000-0400-000002000000}">
      <text>
        <r>
          <rPr>
            <sz val="11"/>
            <color theme="1"/>
            <rFont val="Arial"/>
          </rPr>
          <t>======
ID#AAAAJNaVyq0
Horne, Megan    (2020-03-16 19:57:51)
This is the charge where the purchaser will charge time to place the order.</t>
        </r>
      </text>
    </comment>
  </commentList>
  <extLst>
    <ext xmlns:r="http://schemas.openxmlformats.org/officeDocument/2006/relationships" uri="GoogleSheetsCustomDataVersion1">
      <go:sheetsCustomData xmlns:go="http://customooxmlschemas.google.com/" r:id="rId1" roundtripDataSignature="AMtx7mjUCvCUFeY+NlrBG7SV7psI61PSQA=="/>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6" authorId="0" shapeId="0" xr:uid="{00000000-0006-0000-0500-000001000000}">
      <text>
        <r>
          <rPr>
            <sz val="11"/>
            <color theme="1"/>
            <rFont val="Arial"/>
          </rPr>
          <t>======
ID#AAAAJNaVyq4
Horne, Megan    (2020-03-16 19:57:51)
This is the charge where the purchaser will charge time to place the order.</t>
        </r>
      </text>
    </comment>
  </commentList>
  <extLst>
    <ext xmlns:r="http://schemas.openxmlformats.org/officeDocument/2006/relationships" uri="GoogleSheetsCustomDataVersion1">
      <go:sheetsCustomData xmlns:go="http://customooxmlschemas.google.com/" r:id="rId1" roundtripDataSignature="AMtx7mgHr04kNkJvfrp8+FZdgFiy3SXq3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K2" authorId="0" shapeId="0" xr:uid="{00000000-0006-0000-0600-000001000000}">
      <text>
        <r>
          <rPr>
            <sz val="11"/>
            <color theme="1"/>
            <rFont val="Arial"/>
          </rPr>
          <t>======
ID#AAAAJNaVyrE
Horne, Megan    (2020-03-16 19:57:51)
Make this link to what division is selected</t>
        </r>
      </text>
    </comment>
  </commentList>
  <extLst>
    <ext xmlns:r="http://schemas.openxmlformats.org/officeDocument/2006/relationships" uri="GoogleSheetsCustomDataVersion1">
      <go:sheetsCustomData xmlns:go="http://customooxmlschemas.google.com/" r:id="rId1" roundtripDataSignature="AMtx7mjRKq0mZ4p7K9qAljlWbp8ST+gTgA=="/>
    </ext>
  </extLst>
</comments>
</file>

<file path=xl/sharedStrings.xml><?xml version="1.0" encoding="utf-8"?>
<sst xmlns="http://schemas.openxmlformats.org/spreadsheetml/2006/main" count="324" uniqueCount="228">
  <si>
    <t>Basic Instructions:</t>
  </si>
  <si>
    <r>
      <t xml:space="preserve">Soft Bid: $10,000 - $24,999.99 (1 Vendor Per Ticket)  </t>
    </r>
    <r>
      <rPr>
        <b/>
        <sz val="12"/>
        <color rgb="FF3F3F3F"/>
        <rFont val="Calibri"/>
      </rPr>
      <t xml:space="preserve">  </t>
    </r>
    <r>
      <rPr>
        <b/>
        <sz val="26"/>
        <color rgb="FF3F3F3F"/>
        <rFont val="Calibri"/>
      </rPr>
      <t xml:space="preserve">                     </t>
    </r>
    <r>
      <rPr>
        <b/>
        <sz val="12"/>
        <color rgb="FF3F3F3F"/>
        <rFont val="Calibri"/>
      </rPr>
      <t xml:space="preserve">*Send acknowledgement upon receipt of order (see Instructions tab for details) </t>
    </r>
  </si>
  <si>
    <r>
      <t xml:space="preserve">$0.01 - $9,999.99 (1 Vendor Per Ticket)  </t>
    </r>
    <r>
      <rPr>
        <b/>
        <sz val="12"/>
        <color rgb="FF3F3F3F"/>
        <rFont val="Calibri"/>
      </rPr>
      <t xml:space="preserve">                                                                                               *Send acknowledgement upon receipt of order (see Instructions tab for details)</t>
    </r>
    <r>
      <rPr>
        <b/>
        <sz val="26"/>
        <color rgb="FF3F3F3F"/>
        <rFont val="Calibri"/>
      </rPr>
      <t xml:space="preserve">                            </t>
    </r>
  </si>
  <si>
    <t>Copy this file to your own computer before filling out forms.</t>
  </si>
  <si>
    <t>Please keep track of your ticket ID assigned after submission.</t>
  </si>
  <si>
    <t>Version 6.3</t>
  </si>
  <si>
    <t>Requestor</t>
  </si>
  <si>
    <t>***When ordering, submit only ONE ticket/form per vendor.***</t>
  </si>
  <si>
    <t>Name:</t>
  </si>
  <si>
    <t>Division</t>
  </si>
  <si>
    <t>ONLY fill out ONE tab per ticket.</t>
  </si>
  <si>
    <t>Mick West</t>
  </si>
  <si>
    <t xml:space="preserve">Division </t>
  </si>
  <si>
    <t>Requestor Comments:</t>
  </si>
  <si>
    <t>TEN</t>
  </si>
  <si>
    <t>*Send/Store Acknowledgement upon receipt of order by replying to your ticket email or sending information to megan.horne@gtri.gatech.edu</t>
  </si>
  <si>
    <t>Email:</t>
  </si>
  <si>
    <t>mick.west@gtri.gatech.edu</t>
  </si>
  <si>
    <r>
      <t>o</t>
    </r>
    <r>
      <rPr>
        <sz val="7"/>
        <color theme="1"/>
        <rFont val="Times New Roman"/>
      </rPr>
      <t xml:space="preserve">   </t>
    </r>
    <r>
      <rPr>
        <sz val="11"/>
        <color theme="1"/>
        <rFont val="Calibri"/>
      </rPr>
      <t>Inspect the received items for conformance to purchase requirements and note issues if any</t>
    </r>
  </si>
  <si>
    <t>Number (7-1234):</t>
  </si>
  <si>
    <t xml:space="preserve">o   If you experience issues with procured items or supplier service, such as receipt of damaged or incorrect items, please notify ELSYS Procurement and complete a Nonconforming Procured Item Record. </t>
  </si>
  <si>
    <t>7-8638</t>
  </si>
  <si>
    <t>Accounting</t>
  </si>
  <si>
    <r>
      <t>M&amp;S Sub-budget (</t>
    </r>
    <r>
      <rPr>
        <b/>
        <sz val="12"/>
        <color theme="1"/>
        <rFont val="Calibri"/>
      </rPr>
      <t>D1234.05.06.07.0008</t>
    </r>
    <r>
      <rPr>
        <sz val="12"/>
        <color theme="1"/>
        <rFont val="Calibri"/>
      </rPr>
      <t>):</t>
    </r>
  </si>
  <si>
    <r>
      <t>Labor Sub-budget (</t>
    </r>
    <r>
      <rPr>
        <b/>
        <sz val="12"/>
        <color theme="1"/>
        <rFont val="Calibri"/>
      </rPr>
      <t>D1234.05.06.07.0008</t>
    </r>
    <r>
      <rPr>
        <sz val="12"/>
        <color theme="1"/>
        <rFont val="Calibri"/>
      </rPr>
      <t>):</t>
    </r>
  </si>
  <si>
    <r>
      <t>§</t>
    </r>
    <r>
      <rPr>
        <sz val="7"/>
        <color theme="1"/>
        <rFont val="Times New Roman"/>
      </rPr>
      <t xml:space="preserve">  </t>
    </r>
    <r>
      <rPr>
        <sz val="11"/>
        <color theme="1"/>
        <rFont val="Calibri"/>
      </rPr>
      <t xml:space="preserve">If you experience issues with procured items or supplier service, such as receipt of damaged or incorrect items, </t>
    </r>
  </si>
  <si>
    <r>
      <t>Spend Category (</t>
    </r>
    <r>
      <rPr>
        <b/>
        <sz val="12"/>
        <color theme="1"/>
        <rFont val="Calibri"/>
      </rPr>
      <t>123456</t>
    </r>
    <r>
      <rPr>
        <sz val="12"/>
        <color theme="1"/>
        <rFont val="Calibri"/>
      </rPr>
      <t>):</t>
    </r>
  </si>
  <si>
    <r>
      <t>M&amp;S Sub-budget (</t>
    </r>
    <r>
      <rPr>
        <b/>
        <sz val="12"/>
        <color theme="1"/>
        <rFont val="Calibri"/>
      </rPr>
      <t>D1234.05.06.07.0008</t>
    </r>
    <r>
      <rPr>
        <sz val="12"/>
        <color theme="1"/>
        <rFont val="Calibri"/>
      </rPr>
      <t>):</t>
    </r>
  </si>
  <si>
    <t>W1246.01.00.00.00005</t>
  </si>
  <si>
    <t xml:space="preserve">                                                  please notify ELSYS Procurement and complete a Nonconforming Procured Item Record under Important Links.</t>
  </si>
  <si>
    <r>
      <t>Labor Sub-budget (</t>
    </r>
    <r>
      <rPr>
        <b/>
        <sz val="12"/>
        <color theme="1"/>
        <rFont val="Calibri"/>
      </rPr>
      <t>D1234.05.06.07.0008</t>
    </r>
    <r>
      <rPr>
        <sz val="12"/>
        <color theme="1"/>
        <rFont val="Calibri"/>
      </rPr>
      <t>):</t>
    </r>
  </si>
  <si>
    <r>
      <t>§</t>
    </r>
    <r>
      <rPr>
        <sz val="7"/>
        <color theme="1"/>
        <rFont val="Times New Roman"/>
      </rPr>
      <t> </t>
    </r>
    <r>
      <rPr>
        <sz val="11"/>
        <color theme="1"/>
        <rFont val="Calibri"/>
      </rPr>
      <t xml:space="preserve"> After completing the record, please keep a copy in your project files (updating it as needed) and send a copy to QA at ELSYS-ISO-HELP@gtri.gatech.edu.</t>
    </r>
  </si>
  <si>
    <r>
      <t>Spend Category (</t>
    </r>
    <r>
      <rPr>
        <b/>
        <sz val="12"/>
        <color theme="1"/>
        <rFont val="Calibri"/>
      </rPr>
      <t>123456</t>
    </r>
    <r>
      <rPr>
        <sz val="12"/>
        <color theme="1"/>
        <rFont val="Calibri"/>
      </rPr>
      <t>):</t>
    </r>
  </si>
  <si>
    <t>Vendor</t>
  </si>
  <si>
    <t>Winning (lowest bidder) Vendor's Name:</t>
  </si>
  <si>
    <r>
      <t>o</t>
    </r>
    <r>
      <rPr>
        <sz val="7"/>
        <color theme="1"/>
        <rFont val="Times New Roman"/>
      </rPr>
      <t xml:space="preserve">   </t>
    </r>
    <r>
      <rPr>
        <sz val="11"/>
        <color theme="1"/>
        <rFont val="Calibri"/>
      </rPr>
      <t>Send a record of receipt. Examples of receipt records include:</t>
    </r>
  </si>
  <si>
    <r>
      <t>§</t>
    </r>
    <r>
      <rPr>
        <sz val="7"/>
        <color theme="1"/>
        <rFont val="Times New Roman"/>
      </rPr>
      <t xml:space="preserve">  </t>
    </r>
    <r>
      <rPr>
        <sz val="11"/>
        <color theme="1"/>
        <rFont val="Calibri"/>
      </rPr>
      <t>Packing slips</t>
    </r>
  </si>
  <si>
    <t>Additional Info</t>
  </si>
  <si>
    <r>
      <t>§</t>
    </r>
    <r>
      <rPr>
        <sz val="7"/>
        <color theme="1"/>
        <rFont val="Times New Roman"/>
      </rPr>
      <t xml:space="preserve">  </t>
    </r>
    <r>
      <rPr>
        <sz val="11"/>
        <color theme="1"/>
        <rFont val="Calibri"/>
      </rPr>
      <t>Copy of a packing slip with notations</t>
    </r>
  </si>
  <si>
    <t>Please provide a business purpose.  A sentence or two will generally suffice.</t>
  </si>
  <si>
    <t>Vendor Name:</t>
  </si>
  <si>
    <t>Digikey</t>
  </si>
  <si>
    <r>
      <t>§</t>
    </r>
    <r>
      <rPr>
        <sz val="7"/>
        <color theme="1"/>
        <rFont val="Times New Roman"/>
      </rPr>
      <t xml:space="preserve">  </t>
    </r>
    <r>
      <rPr>
        <sz val="11"/>
        <color theme="1"/>
        <rFont val="Calibri"/>
      </rPr>
      <t>E-mail stating confirmation of purchase</t>
    </r>
  </si>
  <si>
    <t>Vendor Website:</t>
  </si>
  <si>
    <t>digikey.com</t>
  </si>
  <si>
    <r>
      <t>§</t>
    </r>
    <r>
      <rPr>
        <sz val="7"/>
        <color theme="1"/>
        <rFont val="Times New Roman"/>
      </rPr>
      <t xml:space="preserve">  </t>
    </r>
    <r>
      <rPr>
        <sz val="11"/>
        <color theme="1"/>
        <rFont val="Calibri"/>
      </rPr>
      <t>E-mail stating approval for payment of items</t>
    </r>
  </si>
  <si>
    <r>
      <t>o</t>
    </r>
    <r>
      <rPr>
        <sz val="7"/>
        <color theme="1"/>
        <rFont val="Times New Roman"/>
      </rPr>
      <t xml:space="preserve">   </t>
    </r>
    <r>
      <rPr>
        <sz val="11"/>
        <color theme="1"/>
        <rFont val="Calibri"/>
      </rPr>
      <t>Store the receipt record in the project files.</t>
    </r>
  </si>
  <si>
    <t>Please provide a detailed business purpose (including how it will be used on the project).</t>
  </si>
  <si>
    <t>Material to help with VIP team develop underwater microfloat vehicle.</t>
  </si>
  <si>
    <t>Specifics:</t>
  </si>
  <si>
    <t>Who will be the end user (retain the title) of item(s)/software/services being purchased for ?</t>
  </si>
  <si>
    <t>-For orders under $10k go to the appropriate tab based on total cost:</t>
  </si>
  <si>
    <t>Orders over $2,499 (including shipping fees) cannot be processed with a vendor who is not in Workday.</t>
  </si>
  <si>
    <t xml:space="preserve">Is this purchase for hardware, networking, telecom, audio visual or 'X' as a service? </t>
  </si>
  <si>
    <t>Orders under $10k can be placed based at your discretion so long as you do market research.</t>
  </si>
  <si>
    <t xml:space="preserve">Is this purchase an addition to existing inventoried equipment? </t>
  </si>
  <si>
    <t>IF YES:  Provide tag # of inventoried equiptment :</t>
  </si>
  <si>
    <t>A formal quote from the vendor needs to be attached with the ticket.</t>
  </si>
  <si>
    <t xml:space="preserve">If this requisition is for an asset, does it require special disposal? </t>
  </si>
  <si>
    <t>Are you currently aware of any additional orders that you intend to place in the forseeable future from this vendor?</t>
  </si>
  <si>
    <r>
      <rPr>
        <b/>
        <sz val="11"/>
        <color theme="1"/>
        <rFont val="Calibri"/>
      </rPr>
      <t>-</t>
    </r>
    <r>
      <rPr>
        <sz val="11"/>
        <color theme="1"/>
        <rFont val="Calibri"/>
      </rPr>
      <t>Sole Sources are to be used when ONLY 1 vendor can supply the goods or services.  For Sole Sources, use the "Sole Source" tab.</t>
    </r>
  </si>
  <si>
    <t>Orders $10k and over must be sole sourced, soft bid, or open bid.</t>
  </si>
  <si>
    <t>Orders $25k and over must be sole sourced or open bid.</t>
  </si>
  <si>
    <t>If "Yes", explain and please be specific:</t>
  </si>
  <si>
    <r>
      <t xml:space="preserve">If other vendors can provide the SAME (technically acceptable) item, it is </t>
    </r>
    <r>
      <rPr>
        <b/>
        <sz val="11"/>
        <color theme="1"/>
        <rFont val="Calibri"/>
      </rPr>
      <t>NOT</t>
    </r>
    <r>
      <rPr>
        <sz val="11"/>
        <color theme="1"/>
        <rFont val="Calibri"/>
      </rPr>
      <t xml:space="preserve"> a Sole Source</t>
    </r>
  </si>
  <si>
    <t>Attach all 3+ bids/quotes</t>
  </si>
  <si>
    <r>
      <t xml:space="preserve">Sole Source orders $25k to under $250k will be posted on the GPR for 5 </t>
    </r>
    <r>
      <rPr>
        <b/>
        <i/>
        <sz val="11"/>
        <color theme="1"/>
        <rFont val="Calibri"/>
      </rPr>
      <t>business</t>
    </r>
    <r>
      <rPr>
        <sz val="11"/>
        <color theme="1"/>
        <rFont val="Calibri"/>
      </rPr>
      <t xml:space="preserve"> days to be challenged.</t>
    </r>
  </si>
  <si>
    <r>
      <t xml:space="preserve">At and above $250k is 15 </t>
    </r>
    <r>
      <rPr>
        <b/>
        <i/>
        <sz val="11"/>
        <color theme="1"/>
        <rFont val="Calibri"/>
      </rPr>
      <t>calendar</t>
    </r>
    <r>
      <rPr>
        <sz val="11"/>
        <color theme="1"/>
        <rFont val="Calibri"/>
      </rPr>
      <t xml:space="preserve"> days.</t>
    </r>
  </si>
  <si>
    <t>No</t>
  </si>
  <si>
    <t>Shipping</t>
  </si>
  <si>
    <t>Building (list):</t>
  </si>
  <si>
    <t>-Soft Bid is an order between $10k and $25k in which you must obtain a minimum of 3 quotes for specific items or services.</t>
  </si>
  <si>
    <t>Room #:</t>
  </si>
  <si>
    <t>The quote with the lowest cost (technically acceptable) will be who you order from.</t>
  </si>
  <si>
    <t>Requested shipping method (list):</t>
  </si>
  <si>
    <t>430N 10th ST</t>
  </si>
  <si>
    <t>Bay 9</t>
  </si>
  <si>
    <r>
      <t xml:space="preserve">-Open Bid is a full competitive action that must be posted to the Georgia Public Registry for between 3 and 30 </t>
    </r>
    <r>
      <rPr>
        <b/>
        <i/>
        <sz val="11"/>
        <color theme="1"/>
        <rFont val="Calibri"/>
      </rPr>
      <t>calendar</t>
    </r>
    <r>
      <rPr>
        <sz val="11"/>
        <color theme="1"/>
        <rFont val="Calibri"/>
      </rPr>
      <t xml:space="preserve"> days depending on price.</t>
    </r>
  </si>
  <si>
    <r>
      <t>Ship complete or as available (list)(*</t>
    </r>
    <r>
      <rPr>
        <b/>
        <sz val="12"/>
        <color theme="1"/>
        <rFont val="Calibri"/>
      </rPr>
      <t>Note:</t>
    </r>
    <r>
      <rPr>
        <sz val="12"/>
        <color theme="1"/>
        <rFont val="Calibri"/>
      </rPr>
      <t xml:space="preserve"> "</t>
    </r>
    <r>
      <rPr>
        <b/>
        <sz val="12"/>
        <color theme="1"/>
        <rFont val="Calibri"/>
      </rPr>
      <t>complete</t>
    </r>
    <r>
      <rPr>
        <sz val="12"/>
        <color theme="1"/>
        <rFont val="Calibri"/>
      </rPr>
      <t xml:space="preserve">" - company will </t>
    </r>
    <r>
      <rPr>
        <b/>
        <sz val="12"/>
        <color theme="1"/>
        <rFont val="Calibri"/>
      </rPr>
      <t xml:space="preserve">hold </t>
    </r>
    <r>
      <rPr>
        <sz val="12"/>
        <color theme="1"/>
        <rFont val="Calibri"/>
      </rPr>
      <t>entire order until backorders are available so this may cause delay*):</t>
    </r>
  </si>
  <si>
    <t>Need by date (*Please note if you put a need by date, your shipping method may be updated so that items arrive by this date*):</t>
  </si>
  <si>
    <r>
      <t>Ship complete or as available (list)(*</t>
    </r>
    <r>
      <rPr>
        <b/>
        <sz val="12"/>
        <color theme="1"/>
        <rFont val="Calibri"/>
      </rPr>
      <t>Note:</t>
    </r>
    <r>
      <rPr>
        <sz val="12"/>
        <color theme="1"/>
        <rFont val="Calibri"/>
      </rPr>
      <t xml:space="preserve"> "</t>
    </r>
    <r>
      <rPr>
        <b/>
        <sz val="12"/>
        <color theme="1"/>
        <rFont val="Calibri"/>
      </rPr>
      <t>complete</t>
    </r>
    <r>
      <rPr>
        <sz val="12"/>
        <color theme="1"/>
        <rFont val="Calibri"/>
      </rPr>
      <t xml:space="preserve">" - company will </t>
    </r>
    <r>
      <rPr>
        <b/>
        <sz val="12"/>
        <color theme="1"/>
        <rFont val="Calibri"/>
      </rPr>
      <t xml:space="preserve">hold </t>
    </r>
    <r>
      <rPr>
        <sz val="12"/>
        <color theme="1"/>
        <rFont val="Calibri"/>
      </rPr>
      <t>entire order until backorders are available so this may cause delay*):</t>
    </r>
  </si>
  <si>
    <t>As Available</t>
  </si>
  <si>
    <t>Open Bids can be simple or complicated depending on your requirements.</t>
  </si>
  <si>
    <t>If this is your first Open Bid or if you need help phrasing your requirements, you can contact me or one of our contract officers (Belinda Randolph 404-385 0585)</t>
  </si>
  <si>
    <t>Line Item</t>
  </si>
  <si>
    <t>Supplier Part  # (not Manufacturer #)</t>
  </si>
  <si>
    <t>Item Description</t>
  </si>
  <si>
    <t>Quantity</t>
  </si>
  <si>
    <t>Unit Price</t>
  </si>
  <si>
    <t>NIGP Code</t>
  </si>
  <si>
    <r>
      <t xml:space="preserve">OPTIONAL: </t>
    </r>
    <r>
      <rPr>
        <b/>
        <sz val="10"/>
        <rFont val="Calibri"/>
      </rPr>
      <t>Link to item at vendor website. Link may be item number/description as hyperlink, or http web address. Supplying links is recommended for Pcard orders to Amazon, eBay and other vendors in addition to supplier and item info.</t>
    </r>
  </si>
  <si>
    <r>
      <t xml:space="preserve">OPTIONAL: </t>
    </r>
    <r>
      <rPr>
        <b/>
        <sz val="10"/>
        <rFont val="Calibri"/>
      </rPr>
      <t>Link to item at vendor website. Link may be item number/description as hyperlink, or http web address. Supplying links is recommended for Pcard orders to Amazon, eBay and other vendors in addition to supplier and item info.</t>
    </r>
  </si>
  <si>
    <t>-Punchouts are pre-established contracts that have no price ceiling.</t>
  </si>
  <si>
    <t>No quote is required for a punchout vendor.</t>
  </si>
  <si>
    <t>Punchout vendors are: BioRad, Dell, Digi-Key, Eurofins, Fisher Scientific, Grainger, HP, ThermoFisher Scientific, MSC, Newark, Sigma-Aldrich, Staples, VWR International, CDW-G, America To Go, Airgas, Amazon and B&amp;H.</t>
  </si>
  <si>
    <t>Punchout orders do not need to have NIGP Code or price fields filled out as they are extraneous.</t>
  </si>
  <si>
    <t xml:space="preserve">	2N5401YBUOS-ND</t>
  </si>
  <si>
    <t>Put punchout orders on the "Under $10K" tab</t>
  </si>
  <si>
    <t>PNP Transistor</t>
  </si>
  <si>
    <t>-If you ever have more than 25 items for one order, submit additional forms on the same ticket.  After the first form is completed, you only have to fill out the line item information on subsequent forms.</t>
  </si>
  <si>
    <t>Note: there are two options to "reset" your form. One includes resetting line items only.</t>
  </si>
  <si>
    <t>204--16</t>
  </si>
  <si>
    <t>Important Links:</t>
  </si>
  <si>
    <t>https://www.digikey.com/product-detail/en/on-semiconductor/2N5401YBU/2N5401YBUOS-ND/975298</t>
  </si>
  <si>
    <t>IR2110PBF-ND</t>
  </si>
  <si>
    <t>Gate Driver</t>
  </si>
  <si>
    <t>https://www.digikey.com/product-detail/en/infineon-technologies/IR2110PBF/IR2110PBF-ND/811566</t>
  </si>
  <si>
    <t>296-47192-ND</t>
  </si>
  <si>
    <t>Linear Regulator</t>
  </si>
  <si>
    <t>https://www.digikey.com/product-detail/en/texas-instruments/LM7805CT-NOPB/296-47192-ND/3901929</t>
  </si>
  <si>
    <t>296-1845-5-ND</t>
  </si>
  <si>
    <t>Dual Comparator</t>
  </si>
  <si>
    <t>https://www.digikey.com/product-detail/en/texas-instruments/TLC372CP/296-1845-5-ND/277490</t>
  </si>
  <si>
    <t>LMC555CN/NOPB-ND</t>
  </si>
  <si>
    <t>Timer</t>
  </si>
  <si>
    <t>https://www.digikey.com/product-detail/en/texas-instruments/LMC555CN-NOPB/LMC555CN-NOPB-ND/32623</t>
  </si>
  <si>
    <t>Disclaimers:</t>
  </si>
  <si>
    <t>IRF540NLPBF-ND</t>
  </si>
  <si>
    <t>N-Channel MOSFET</t>
  </si>
  <si>
    <t>https://www.digikey.com/product-detail/en/infineon-technologies/IRF540NLPBF/IRF540NLPBF-ND/812049</t>
  </si>
  <si>
    <t>If you fail to fully complete a form, your order will be delayed.</t>
  </si>
  <si>
    <t>If you fail to submit the form properly (multiple orders on one submitted ticket, missing documents such as a quote or approval), your order will be delayed.</t>
  </si>
  <si>
    <t>Monetary limits include shipping costs.  If you are unsure of the shipping costs, please reach out to the vendor for a shipping estimate.</t>
  </si>
  <si>
    <t>PPC1.0KW-2CT-ND</t>
  </si>
  <si>
    <t>2W Resistor</t>
  </si>
  <si>
    <t>The brief instructions provided in this spreadsheet are merely rudimentary guidance for completing ELSYS ALL forms and tickets.  They are not final or comprehensive and are not intended to be used as or substituted for procurement guidance.</t>
  </si>
  <si>
    <t>https://www.digikey.com/product-detail/en/vishay-bc-components/PR02000201001JR500/PPC1.0KW-2CT-ND/597336</t>
  </si>
  <si>
    <t>If you have any questions, please contact Megan Horne (404-407-8892)</t>
  </si>
  <si>
    <t>1740-1198-ND</t>
  </si>
  <si>
    <t>NPN Transistor</t>
  </si>
  <si>
    <t>https://www.digikey.com/product-detail/en/ween-semiconductors/PHE13005127/1740-1198-ND/1157518</t>
  </si>
  <si>
    <t>OP2177CRMZ-ND</t>
  </si>
  <si>
    <t>Low-Noise Op Amp</t>
  </si>
  <si>
    <t>https://www.digikey.com/product-detail/en/analog-devices-inc/OP2177CRMZ/OP2177CRMZ-ND/10238174</t>
  </si>
  <si>
    <t>296-10230-5-ND</t>
  </si>
  <si>
    <t>Filter</t>
  </si>
  <si>
    <t>296-39653-ND</t>
  </si>
  <si>
    <t>Microcontroller Dev Board</t>
  </si>
  <si>
    <t>https://www.digikey.com/product-detail/en/texas-instruments/MSP-EXP432P401R/296-39653-ND/5170609</t>
  </si>
  <si>
    <t>255-1228-1-ND</t>
  </si>
  <si>
    <t>Solid State Relay</t>
  </si>
  <si>
    <t>https://www.digikey.com/product-detail/en/panasonic-electric-works/TQ2SA-3V-Z/255-1228-1-ND/5767573</t>
  </si>
  <si>
    <t>AD5627RBRMZ-1REEL7CT-ND</t>
  </si>
  <si>
    <t>DAC</t>
  </si>
  <si>
    <t>https://www.digikey.com/product-detail/en/analog-devices-inc/AD5627RBRMZ-1REEL7/AD5627RBRMZ-1REEL7CT-ND/4908940</t>
  </si>
  <si>
    <t>Total before shipping</t>
  </si>
  <si>
    <r>
      <t xml:space="preserve">Open Bid: $25,000 and Over                                                                     </t>
    </r>
    <r>
      <rPr>
        <b/>
        <sz val="12"/>
        <color rgb="FF3F3F3F"/>
        <rFont val="Calibri"/>
      </rPr>
      <t xml:space="preserve">*Send acknowledgement upon receipt of order (see Instructions tab for details)  </t>
    </r>
  </si>
  <si>
    <r>
      <t>M&amp;S Sub-budget (</t>
    </r>
    <r>
      <rPr>
        <b/>
        <sz val="12"/>
        <color theme="1"/>
        <rFont val="Calibri"/>
      </rPr>
      <t>D1234.05.06.07.0008</t>
    </r>
    <r>
      <rPr>
        <sz val="12"/>
        <color theme="1"/>
        <rFont val="Calibri"/>
      </rPr>
      <t>):</t>
    </r>
  </si>
  <si>
    <r>
      <t>Labor Sub-budget (</t>
    </r>
    <r>
      <rPr>
        <b/>
        <sz val="12"/>
        <color theme="1"/>
        <rFont val="Calibri"/>
      </rPr>
      <t>D1234.05.06.07.0008</t>
    </r>
    <r>
      <rPr>
        <sz val="12"/>
        <color theme="1"/>
        <rFont val="Calibri"/>
      </rPr>
      <t>):</t>
    </r>
  </si>
  <si>
    <r>
      <t>Spend Category (</t>
    </r>
    <r>
      <rPr>
        <b/>
        <sz val="12"/>
        <color theme="1"/>
        <rFont val="Calibri"/>
      </rPr>
      <t>123456</t>
    </r>
    <r>
      <rPr>
        <sz val="12"/>
        <color theme="1"/>
        <rFont val="Calibri"/>
      </rPr>
      <t>):</t>
    </r>
  </si>
  <si>
    <r>
      <rPr>
        <u/>
        <sz val="12"/>
        <color theme="1"/>
        <rFont val="Calibri"/>
      </rPr>
      <t>Preferred Vendor List</t>
    </r>
    <r>
      <rPr>
        <sz val="12"/>
        <color theme="1"/>
        <rFont val="Calibri"/>
      </rPr>
      <t xml:space="preserve">
Include as much relevant contact information as you can, particularly: </t>
    </r>
    <r>
      <rPr>
        <b/>
        <sz val="12"/>
        <color theme="1"/>
        <rFont val="Calibri"/>
      </rPr>
      <t>name/address/email/phone#</t>
    </r>
  </si>
  <si>
    <t>Expected delivery/start date:</t>
  </si>
  <si>
    <t>Will you accept "or GIT accepted equal"?</t>
  </si>
  <si>
    <t>What is the estimated amount of the purchase?</t>
  </si>
  <si>
    <t>Attach Requirements</t>
  </si>
  <si>
    <r>
      <t>Ship complete or as available (list)(*</t>
    </r>
    <r>
      <rPr>
        <b/>
        <sz val="12"/>
        <color theme="1"/>
        <rFont val="Calibri"/>
      </rPr>
      <t>Note:</t>
    </r>
    <r>
      <rPr>
        <sz val="12"/>
        <color theme="1"/>
        <rFont val="Calibri"/>
      </rPr>
      <t xml:space="preserve"> "</t>
    </r>
    <r>
      <rPr>
        <b/>
        <sz val="12"/>
        <color theme="1"/>
        <rFont val="Calibri"/>
      </rPr>
      <t>complete</t>
    </r>
    <r>
      <rPr>
        <sz val="12"/>
        <color theme="1"/>
        <rFont val="Calibri"/>
      </rPr>
      <t xml:space="preserve">" - company will </t>
    </r>
    <r>
      <rPr>
        <b/>
        <sz val="12"/>
        <color theme="1"/>
        <rFont val="Calibri"/>
      </rPr>
      <t xml:space="preserve">hold </t>
    </r>
    <r>
      <rPr>
        <sz val="12"/>
        <color theme="1"/>
        <rFont val="Calibri"/>
      </rPr>
      <t>entire order until backorders are available so this may cause delay*):</t>
    </r>
  </si>
  <si>
    <r>
      <t xml:space="preserve">Sole Source: $10,000 and over (1 Vendor Per Ticket)  </t>
    </r>
    <r>
      <rPr>
        <b/>
        <sz val="12"/>
        <color rgb="FF3F3F3F"/>
        <rFont val="Calibri"/>
      </rPr>
      <t xml:space="preserve">  </t>
    </r>
    <r>
      <rPr>
        <b/>
        <sz val="26"/>
        <color rgb="FF3F3F3F"/>
        <rFont val="Calibri"/>
      </rPr>
      <t xml:space="preserve">                                            </t>
    </r>
    <r>
      <rPr>
        <b/>
        <sz val="12"/>
        <color rgb="FF3F3F3F"/>
        <rFont val="Calibri"/>
      </rPr>
      <t xml:space="preserve">*Send acknowledgement upon receipt of order (see Instructions tab for details)  </t>
    </r>
  </si>
  <si>
    <r>
      <t>M&amp;S Sub-budget (</t>
    </r>
    <r>
      <rPr>
        <b/>
        <sz val="12"/>
        <color theme="1"/>
        <rFont val="Calibri"/>
      </rPr>
      <t>D1234.05.06.07.0008</t>
    </r>
    <r>
      <rPr>
        <sz val="12"/>
        <color theme="1"/>
        <rFont val="Calibri"/>
      </rPr>
      <t>):</t>
    </r>
  </si>
  <si>
    <r>
      <t>Labor Sub-budget (</t>
    </r>
    <r>
      <rPr>
        <b/>
        <sz val="12"/>
        <color theme="1"/>
        <rFont val="Calibri"/>
      </rPr>
      <t>D1234.05.06.07.0008</t>
    </r>
    <r>
      <rPr>
        <sz val="12"/>
        <color theme="1"/>
        <rFont val="Calibri"/>
      </rPr>
      <t>):</t>
    </r>
  </si>
  <si>
    <r>
      <t>Spend Category (</t>
    </r>
    <r>
      <rPr>
        <b/>
        <sz val="12"/>
        <color theme="1"/>
        <rFont val="Calibri"/>
      </rPr>
      <t>123456</t>
    </r>
    <r>
      <rPr>
        <sz val="12"/>
        <color theme="1"/>
        <rFont val="Calibri"/>
      </rPr>
      <t>):</t>
    </r>
  </si>
  <si>
    <t>External Requirement</t>
  </si>
  <si>
    <t>Fill out the below .pdf form:</t>
  </si>
  <si>
    <t>Additional Info :</t>
  </si>
  <si>
    <r>
      <t>Ship complete or as available (list)(*</t>
    </r>
    <r>
      <rPr>
        <b/>
        <sz val="12"/>
        <color theme="1"/>
        <rFont val="Calibri"/>
      </rPr>
      <t>Note:</t>
    </r>
    <r>
      <rPr>
        <sz val="12"/>
        <color theme="1"/>
        <rFont val="Calibri"/>
      </rPr>
      <t xml:space="preserve"> "</t>
    </r>
    <r>
      <rPr>
        <b/>
        <sz val="12"/>
        <color theme="1"/>
        <rFont val="Calibri"/>
      </rPr>
      <t>complete</t>
    </r>
    <r>
      <rPr>
        <sz val="12"/>
        <color theme="1"/>
        <rFont val="Calibri"/>
      </rPr>
      <t xml:space="preserve">" - company will </t>
    </r>
    <r>
      <rPr>
        <b/>
        <sz val="12"/>
        <color theme="1"/>
        <rFont val="Calibri"/>
      </rPr>
      <t xml:space="preserve">hold </t>
    </r>
    <r>
      <rPr>
        <sz val="12"/>
        <color theme="1"/>
        <rFont val="Calibri"/>
      </rPr>
      <t>entire order until backorders are available so this may cause delay*):</t>
    </r>
  </si>
  <si>
    <r>
      <t xml:space="preserve">OPTIONAL: </t>
    </r>
    <r>
      <rPr>
        <b/>
        <sz val="10"/>
        <rFont val="Calibri"/>
      </rPr>
      <t>Link to item at vendor website. Link may be item number/description as hyperlink, or http web address. Supplying links is recommended for Pcard orders to Amazon, eBay and other vendors in addition to supplier and item info.</t>
    </r>
  </si>
  <si>
    <r>
      <t xml:space="preserve">Contractor (1 Contractor Per Ticket)  </t>
    </r>
    <r>
      <rPr>
        <b/>
        <sz val="12"/>
        <color rgb="FF3F3F3F"/>
        <rFont val="Calibri"/>
      </rPr>
      <t xml:space="preserve">  </t>
    </r>
    <r>
      <rPr>
        <b/>
        <sz val="26"/>
        <color rgb="FF3F3F3F"/>
        <rFont val="Calibri"/>
      </rPr>
      <t xml:space="preserve">                                                          </t>
    </r>
    <r>
      <rPr>
        <b/>
        <sz val="12"/>
        <color rgb="FF3F3F3F"/>
        <rFont val="Calibri"/>
      </rPr>
      <t xml:space="preserve">*Ensure that you are following updated processes with HR prior to submitting this request for a PO                        </t>
    </r>
    <r>
      <rPr>
        <b/>
        <sz val="26"/>
        <color rgb="FF3F3F3F"/>
        <rFont val="Calibri"/>
      </rPr>
      <t xml:space="preserve">    </t>
    </r>
  </si>
  <si>
    <r>
      <t>Labor Sub-budget (</t>
    </r>
    <r>
      <rPr>
        <b/>
        <sz val="12"/>
        <color theme="1"/>
        <rFont val="Calibri"/>
      </rPr>
      <t>D1234.05.06.07.0008</t>
    </r>
    <r>
      <rPr>
        <sz val="12"/>
        <color theme="1"/>
        <rFont val="Calibri"/>
      </rPr>
      <t>):</t>
    </r>
  </si>
  <si>
    <t xml:space="preserve">Contractor's Manager: </t>
  </si>
  <si>
    <t>Who is tracking their hours?</t>
  </si>
  <si>
    <t>Will this contractor be working on sponsored SOW?</t>
  </si>
  <si>
    <t>Forms</t>
  </si>
  <si>
    <t>Attach Contractor's Resume</t>
  </si>
  <si>
    <t>Attach Consulting Form</t>
  </si>
  <si>
    <t>Attach Work Order</t>
  </si>
  <si>
    <t>Attach FAR</t>
  </si>
  <si>
    <t>Attach NDA</t>
  </si>
  <si>
    <t xml:space="preserve"> Contractor's Name</t>
  </si>
  <si>
    <t>Start Date - End Date</t>
  </si>
  <si>
    <t>Total Price</t>
  </si>
  <si>
    <t>Total</t>
  </si>
  <si>
    <t>Ticket # (For Pcard orders, vendor uses Ticket # as PO#)</t>
  </si>
  <si>
    <t>Project Number / Account Code</t>
  </si>
  <si>
    <t xml:space="preserve">Charge Number for Time </t>
  </si>
  <si>
    <t>Vendor (Supplier)</t>
  </si>
  <si>
    <r>
      <rPr>
        <b/>
        <sz val="10"/>
        <rFont val="Arial"/>
      </rPr>
      <t>Ordered:</t>
    </r>
    <r>
      <rPr>
        <sz val="10"/>
        <rFont val="Arial"/>
      </rPr>
      <t xml:space="preserve"> </t>
    </r>
    <r>
      <rPr>
        <b/>
        <sz val="10"/>
        <rFont val="Arial"/>
      </rPr>
      <t>WorkDay</t>
    </r>
    <r>
      <rPr>
        <sz val="10"/>
        <rFont val="Arial"/>
      </rPr>
      <t xml:space="preserve"> / </t>
    </r>
    <r>
      <rPr>
        <b/>
        <sz val="10"/>
        <rFont val="Arial"/>
      </rPr>
      <t>E</t>
    </r>
    <r>
      <rPr>
        <sz val="10"/>
        <rFont val="Arial"/>
      </rPr>
      <t xml:space="preserve">mail / </t>
    </r>
    <r>
      <rPr>
        <b/>
        <sz val="10"/>
        <rFont val="Arial"/>
      </rPr>
      <t>F</t>
    </r>
    <r>
      <rPr>
        <sz val="10"/>
        <rFont val="Arial"/>
      </rPr>
      <t xml:space="preserve">ax / </t>
    </r>
    <r>
      <rPr>
        <b/>
        <sz val="10"/>
        <rFont val="Arial"/>
      </rPr>
      <t>O</t>
    </r>
    <r>
      <rPr>
        <sz val="10"/>
        <rFont val="Arial"/>
      </rPr>
      <t xml:space="preserve">nline / </t>
    </r>
    <r>
      <rPr>
        <b/>
        <sz val="10"/>
        <rFont val="Arial"/>
      </rPr>
      <t>P</t>
    </r>
    <r>
      <rPr>
        <sz val="10"/>
        <rFont val="Arial"/>
      </rPr>
      <t xml:space="preserve">hone / </t>
    </r>
    <r>
      <rPr>
        <b/>
        <sz val="10"/>
        <rFont val="Arial"/>
      </rPr>
      <t>S</t>
    </r>
    <r>
      <rPr>
        <sz val="10"/>
        <rFont val="Arial"/>
      </rPr>
      <t>tore</t>
    </r>
  </si>
  <si>
    <t>Date Ordered</t>
  </si>
  <si>
    <t>WorkDay RQ# / WorkDay PO# / Vendor Order#(s) / How Ship or Delivery Date / Tracking#</t>
  </si>
  <si>
    <t xml:space="preserve">Invoice Amount </t>
  </si>
  <si>
    <t>Street/ RM/ Ext.</t>
  </si>
  <si>
    <t>Ordered For</t>
  </si>
  <si>
    <t>Additional Information</t>
  </si>
  <si>
    <t>Under 10k</t>
  </si>
  <si>
    <t>Buildings</t>
  </si>
  <si>
    <t>Delivery Type</t>
  </si>
  <si>
    <t>Connected Orders</t>
  </si>
  <si>
    <t>End User</t>
  </si>
  <si>
    <t>250 14th ST</t>
  </si>
  <si>
    <t>Complete</t>
  </si>
  <si>
    <t>Standard</t>
  </si>
  <si>
    <t>Yes</t>
  </si>
  <si>
    <t>Sponsor</t>
  </si>
  <si>
    <t>ANGPO</t>
  </si>
  <si>
    <t>260 14th ST</t>
  </si>
  <si>
    <t>Ground</t>
  </si>
  <si>
    <t>GTRI</t>
  </si>
  <si>
    <t>AWEPO</t>
  </si>
  <si>
    <t>400 10th ST</t>
  </si>
  <si>
    <t>3-Day</t>
  </si>
  <si>
    <t>ESI</t>
  </si>
  <si>
    <t>2-Day</t>
  </si>
  <si>
    <t>SEN</t>
  </si>
  <si>
    <t>430S 10th ST</t>
  </si>
  <si>
    <t>Overnight</t>
  </si>
  <si>
    <t>SER</t>
  </si>
  <si>
    <t>Baker Building</t>
  </si>
  <si>
    <t>Huntsville Field Office</t>
  </si>
  <si>
    <t>DO</t>
  </si>
  <si>
    <t>Orlando Field Office</t>
  </si>
  <si>
    <t>PaX River Field Office</t>
  </si>
  <si>
    <t>Tucson Field Office</t>
  </si>
  <si>
    <t>Warner Robins Field Office</t>
  </si>
  <si>
    <t>Soft Bid</t>
  </si>
  <si>
    <t>Open Bid</t>
  </si>
  <si>
    <t>Sole Source</t>
  </si>
  <si>
    <t>Contractor</t>
  </si>
  <si>
    <t>Apex / Insight Global</t>
  </si>
  <si>
    <t>/PO-</t>
  </si>
  <si>
    <t>https://www.digikey.com/product-detail/en/texas-instruments/TLC04ID/296-10230-5-ND/380466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</si>
</sst>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44" formatCode="_(&quot;$&quot;* #,##0.00_);_(&quot;$&quot;* \(#,##0.00\);_(&quot;$&quot;* &quot;-&quot;??_);_(@_)"/>
    <numFmt numFmtId="164" formatCode="m/d/yy"/>
    <numFmt numFmtId="165" formatCode="&quot;$&quot;#,##0.00;[Red]&quot;$&quot;#,##0.00"/>
    <numFmt numFmtId="166" formatCode="&quot;$&quot;#,##0.00"/>
    <numFmt numFmtId="167" formatCode="&quot;$&quot;#,##0"/>
    <numFmt numFmtId="168" formatCode="[$-409]d\-mmm\-yyyy"/>
  </numFmts>
  <fonts count="38">
    <font>
      <sz val="11"/>
      <color theme="1"/>
      <name val="Arial"/>
    </font>
    <font>
      <b/>
      <sz val="18"/>
      <color theme="1"/>
      <name val="Calibri"/>
    </font>
    <font>
      <sz val="11"/>
      <color theme="1"/>
      <name val="Calibri"/>
    </font>
    <font>
      <b/>
      <sz val="26"/>
      <color rgb="FF3F3F3F"/>
      <name val="Calibri"/>
    </font>
    <font>
      <sz val="11"/>
      <name val="Arial"/>
    </font>
    <font>
      <b/>
      <sz val="12"/>
      <color theme="1"/>
      <name val="Calibri"/>
    </font>
    <font>
      <sz val="12"/>
      <color theme="1"/>
      <name val="Calibri"/>
    </font>
    <font>
      <b/>
      <i/>
      <sz val="11"/>
      <color theme="1"/>
      <name val="Calibri"/>
    </font>
    <font>
      <b/>
      <sz val="11"/>
      <color theme="1"/>
      <name val="Calibri"/>
    </font>
    <font>
      <u/>
      <sz val="10"/>
      <color theme="10"/>
      <name val="Arial"/>
    </font>
    <font>
      <sz val="11"/>
      <color theme="1"/>
      <name val="Courier New"/>
    </font>
    <font>
      <u/>
      <sz val="10"/>
      <color theme="10"/>
      <name val="Arial"/>
    </font>
    <font>
      <sz val="11"/>
      <color theme="1"/>
      <name val="Noto Sans Symbols"/>
    </font>
    <font>
      <u/>
      <sz val="12"/>
      <color theme="10"/>
      <name val="Arial"/>
    </font>
    <font>
      <u/>
      <sz val="10"/>
      <color theme="10"/>
      <name val="Arial"/>
    </font>
    <font>
      <u/>
      <sz val="10"/>
      <color theme="10"/>
      <name val="Arial"/>
    </font>
    <font>
      <sz val="12"/>
      <color theme="0"/>
      <name val="Calibri"/>
    </font>
    <font>
      <b/>
      <sz val="12"/>
      <color rgb="FFFF0000"/>
      <name val="Calibri"/>
    </font>
    <font>
      <b/>
      <i/>
      <sz val="12"/>
      <color theme="1"/>
      <name val="Calibri"/>
    </font>
    <font>
      <sz val="11"/>
      <color rgb="FF444444"/>
      <name val="Calibri"/>
    </font>
    <font>
      <sz val="10"/>
      <color theme="10"/>
      <name val="Arial"/>
    </font>
    <font>
      <sz val="11"/>
      <color rgb="FF222222"/>
      <name val="Calibri"/>
    </font>
    <font>
      <u/>
      <sz val="10"/>
      <color theme="10"/>
      <name val="Arial"/>
    </font>
    <font>
      <sz val="11"/>
      <color rgb="FF000000"/>
      <name val="Arial"/>
    </font>
    <font>
      <u/>
      <sz val="10"/>
      <color theme="10"/>
      <name val="Arial"/>
    </font>
    <font>
      <b/>
      <sz val="11"/>
      <color theme="10"/>
      <name val="Arial"/>
    </font>
    <font>
      <sz val="11"/>
      <color rgb="FFFF0000"/>
      <name val="Calibri"/>
    </font>
    <font>
      <b/>
      <sz val="10"/>
      <color theme="1"/>
      <name val="Arial"/>
    </font>
    <font>
      <sz val="10"/>
      <color theme="1"/>
      <name val="Arial"/>
    </font>
    <font>
      <sz val="11"/>
      <color theme="1"/>
      <name val="Calibri"/>
    </font>
    <font>
      <sz val="11"/>
      <color theme="0"/>
      <name val="Calibri"/>
    </font>
    <font>
      <b/>
      <sz val="12"/>
      <color rgb="FF3F3F3F"/>
      <name val="Calibri"/>
    </font>
    <font>
      <sz val="7"/>
      <color theme="1"/>
      <name val="Times New Roman"/>
    </font>
    <font>
      <b/>
      <sz val="10"/>
      <name val="Calibri"/>
    </font>
    <font>
      <u/>
      <sz val="12"/>
      <color theme="1"/>
      <name val="Calibri"/>
    </font>
    <font>
      <b/>
      <sz val="10"/>
      <name val="Arial"/>
    </font>
    <font>
      <sz val="10"/>
      <name val="Arial"/>
    </font>
    <font>
      <u/>
      <sz val="11"/>
      <color theme="10"/>
      <name val="Arial"/>
    </font>
  </fonts>
  <fills count="4">
    <fill>
      <patternFill patternType="none"/>
    </fill>
    <fill>
      <patternFill patternType="gray125"/>
    </fill>
    <fill>
      <patternFill patternType="solid">
        <fgColor rgb="FFF2F2F2"/>
        <bgColor rgb="FFF2F2F2"/>
      </patternFill>
    </fill>
    <fill>
      <patternFill patternType="solid">
        <fgColor rgb="FFFFFFFF"/>
        <bgColor rgb="FFFFFFFF"/>
      </patternFill>
    </fill>
  </fills>
  <borders count="17">
    <border>
      <left/>
      <right/>
      <top/>
      <bottom/>
      <diagonal/>
    </border>
    <border>
      <left style="thin">
        <color rgb="FF3F3F3F"/>
      </left>
      <right/>
      <top/>
      <bottom/>
      <diagonal/>
    </border>
    <border>
      <left/>
      <right/>
      <top/>
      <bottom/>
      <diagonal/>
    </border>
    <border>
      <left/>
      <right/>
      <top/>
      <bottom/>
      <diagonal/>
    </border>
    <border>
      <left/>
      <right/>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right/>
      <top/>
      <bottom style="double">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double">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style="double">
        <color rgb="FF000000"/>
      </bottom>
      <diagonal/>
    </border>
    <border>
      <left style="thin">
        <color rgb="FF000000"/>
      </left>
      <right style="thin">
        <color rgb="FF000000"/>
      </right>
      <top/>
      <bottom style="double">
        <color rgb="FF000000"/>
      </bottom>
      <diagonal/>
    </border>
  </borders>
  <cellStyleXfs count="2">
    <xf numFmtId="0" fontId="0" fillId="0" borderId="0"/>
    <xf numFmtId="0" fontId="37" fillId="0" borderId="0" applyNumberFormat="0" applyFill="0" applyBorder="0" applyAlignment="0" applyProtection="0"/>
  </cellStyleXfs>
  <cellXfs count="97">
    <xf numFmtId="0" fontId="0" fillId="0" borderId="0" xfId="0" applyFont="1" applyAlignment="1"/>
    <xf numFmtId="0" fontId="1" fillId="0" borderId="0" xfId="0" applyFont="1"/>
    <xf numFmtId="0" fontId="2" fillId="0" borderId="0" xfId="0" applyFont="1"/>
    <xf numFmtId="0" fontId="5" fillId="0" borderId="0" xfId="0" applyFont="1"/>
    <xf numFmtId="0" fontId="6" fillId="0" borderId="0" xfId="0" applyFont="1"/>
    <xf numFmtId="0" fontId="6" fillId="0" borderId="4" xfId="0" applyFont="1" applyBorder="1" applyAlignment="1">
      <alignment horizontal="left"/>
    </xf>
    <xf numFmtId="0" fontId="5" fillId="0" borderId="0" xfId="0" applyFont="1" applyAlignment="1">
      <alignment horizontal="center"/>
    </xf>
    <xf numFmtId="0" fontId="7" fillId="0" borderId="0" xfId="0" applyFont="1"/>
    <xf numFmtId="0" fontId="6" fillId="0" borderId="4" xfId="0" applyFont="1" applyBorder="1"/>
    <xf numFmtId="0" fontId="5" fillId="0" borderId="0" xfId="0" applyFont="1" applyAlignment="1">
      <alignment wrapText="1"/>
    </xf>
    <xf numFmtId="0" fontId="6" fillId="0" borderId="5" xfId="0" applyFont="1" applyBorder="1" applyAlignment="1">
      <alignment wrapText="1"/>
    </xf>
    <xf numFmtId="0" fontId="8" fillId="0" borderId="0" xfId="0" applyFont="1"/>
    <xf numFmtId="0" fontId="9" fillId="0" borderId="6" xfId="0" applyFont="1" applyBorder="1" applyAlignment="1">
      <alignment horizontal="left"/>
    </xf>
    <xf numFmtId="0" fontId="10" fillId="0" borderId="0" xfId="0" applyFont="1" applyAlignment="1">
      <alignment horizontal="left" vertical="center"/>
    </xf>
    <xf numFmtId="49" fontId="6" fillId="0" borderId="6" xfId="0" applyNumberFormat="1" applyFont="1" applyBorder="1" applyAlignment="1">
      <alignment horizontal="left"/>
    </xf>
    <xf numFmtId="49" fontId="11" fillId="0" borderId="6" xfId="0" applyNumberFormat="1" applyFont="1" applyBorder="1" applyAlignment="1">
      <alignment horizontal="left"/>
    </xf>
    <xf numFmtId="0" fontId="6" fillId="0" borderId="0" xfId="0" applyFont="1" applyAlignment="1">
      <alignment horizontal="left"/>
    </xf>
    <xf numFmtId="0" fontId="2" fillId="0" borderId="0" xfId="0" applyFont="1" applyAlignment="1">
      <alignment horizontal="left" vertical="center"/>
    </xf>
    <xf numFmtId="0" fontId="6" fillId="0" borderId="6" xfId="0" applyFont="1" applyBorder="1"/>
    <xf numFmtId="0" fontId="12" fillId="0" borderId="0" xfId="0" applyFont="1" applyAlignment="1">
      <alignment horizontal="left" vertical="center"/>
    </xf>
    <xf numFmtId="0" fontId="13" fillId="0" borderId="0" xfId="0" applyFont="1" applyAlignment="1">
      <alignment wrapText="1"/>
    </xf>
    <xf numFmtId="0" fontId="6" fillId="0" borderId="6" xfId="0" applyFont="1" applyBorder="1" applyAlignment="1">
      <alignment horizontal="left"/>
    </xf>
    <xf numFmtId="0" fontId="6" fillId="0" borderId="0" xfId="0" applyFont="1" applyAlignment="1">
      <alignment wrapText="1"/>
    </xf>
    <xf numFmtId="0" fontId="14" fillId="0" borderId="0" xfId="0" applyFont="1" applyAlignment="1">
      <alignment horizontal="left"/>
    </xf>
    <xf numFmtId="0" fontId="15" fillId="0" borderId="0" xfId="0" applyFont="1"/>
    <xf numFmtId="0" fontId="16" fillId="0" borderId="0" xfId="0" applyFont="1" applyAlignment="1">
      <alignment wrapText="1"/>
    </xf>
    <xf numFmtId="0" fontId="6" fillId="0" borderId="4" xfId="0" applyFont="1" applyBorder="1" applyAlignment="1">
      <alignment horizontal="left" wrapText="1"/>
    </xf>
    <xf numFmtId="0" fontId="2" fillId="0" borderId="0" xfId="0" quotePrefix="1" applyFont="1"/>
    <xf numFmtId="0" fontId="6" fillId="0" borderId="0" xfId="0" applyFont="1" applyAlignment="1">
      <alignment horizontal="left" wrapText="1"/>
    </xf>
    <xf numFmtId="0" fontId="6" fillId="0" borderId="9" xfId="0" applyFont="1" applyBorder="1" applyAlignment="1">
      <alignment horizontal="left" wrapText="1"/>
    </xf>
    <xf numFmtId="0" fontId="17" fillId="0" borderId="0" xfId="0" applyFont="1"/>
    <xf numFmtId="0" fontId="6" fillId="0" borderId="0" xfId="0" applyFont="1" applyAlignment="1">
      <alignment horizontal="center"/>
    </xf>
    <xf numFmtId="0" fontId="6" fillId="0" borderId="0" xfId="0" applyFont="1" applyAlignment="1">
      <alignment vertical="center"/>
    </xf>
    <xf numFmtId="0" fontId="6" fillId="0" borderId="6" xfId="0" applyFont="1" applyBorder="1" applyAlignment="1">
      <alignment horizontal="left" wrapText="1"/>
    </xf>
    <xf numFmtId="0" fontId="18" fillId="0" borderId="0" xfId="0" applyFont="1" applyAlignment="1">
      <alignment horizontal="center"/>
    </xf>
    <xf numFmtId="1" fontId="6" fillId="0" borderId="4" xfId="0" applyNumberFormat="1" applyFont="1" applyBorder="1" applyAlignment="1">
      <alignment horizontal="left"/>
    </xf>
    <xf numFmtId="164" fontId="6" fillId="0" borderId="6" xfId="0" applyNumberFormat="1" applyFont="1" applyBorder="1" applyAlignment="1">
      <alignment horizontal="left"/>
    </xf>
    <xf numFmtId="14" fontId="6" fillId="0" borderId="6" xfId="0" applyNumberFormat="1" applyFont="1" applyBorder="1"/>
    <xf numFmtId="0" fontId="5" fillId="0" borderId="10" xfId="0" applyFont="1" applyBorder="1" applyAlignment="1">
      <alignment horizontal="center"/>
    </xf>
    <xf numFmtId="0" fontId="5" fillId="0" borderId="0" xfId="0" applyFont="1" applyAlignment="1">
      <alignment horizontal="center" wrapText="1"/>
    </xf>
    <xf numFmtId="0" fontId="6" fillId="0" borderId="11" xfId="0" applyFont="1" applyBorder="1" applyAlignment="1">
      <alignment horizontal="center"/>
    </xf>
    <xf numFmtId="0" fontId="2" fillId="0" borderId="12" xfId="0" applyFont="1" applyBorder="1" applyAlignment="1">
      <alignment horizontal="center" vertical="center"/>
    </xf>
    <xf numFmtId="0" fontId="2" fillId="0" borderId="11" xfId="0" applyFont="1" applyBorder="1"/>
    <xf numFmtId="0" fontId="19" fillId="0" borderId="0" xfId="0" applyFont="1" applyAlignment="1">
      <alignment horizontal="center" vertical="center"/>
    </xf>
    <xf numFmtId="1" fontId="6" fillId="0" borderId="11" xfId="0" applyNumberFormat="1" applyFont="1" applyBorder="1" applyAlignment="1">
      <alignment horizontal="left"/>
    </xf>
    <xf numFmtId="165" fontId="6" fillId="0" borderId="11" xfId="0" applyNumberFormat="1" applyFont="1" applyBorder="1" applyAlignment="1">
      <alignment horizontal="left"/>
    </xf>
    <xf numFmtId="4" fontId="6" fillId="0" borderId="11" xfId="0" applyNumberFormat="1" applyFont="1" applyBorder="1" applyAlignment="1">
      <alignment horizontal="left"/>
    </xf>
    <xf numFmtId="49" fontId="6" fillId="0" borderId="11" xfId="0" applyNumberFormat="1" applyFont="1" applyBorder="1" applyAlignment="1">
      <alignment horizontal="left"/>
    </xf>
    <xf numFmtId="0" fontId="2" fillId="0" borderId="13" xfId="0" applyFont="1" applyBorder="1" applyAlignment="1">
      <alignment horizontal="left"/>
    </xf>
    <xf numFmtId="0" fontId="6" fillId="0" borderId="12" xfId="0" applyFont="1" applyBorder="1" applyAlignment="1">
      <alignment horizontal="center"/>
    </xf>
    <xf numFmtId="0" fontId="2" fillId="0" borderId="12" xfId="0" applyFont="1" applyBorder="1"/>
    <xf numFmtId="0" fontId="2" fillId="3" borderId="12" xfId="0" applyFont="1" applyFill="1" applyBorder="1" applyAlignment="1">
      <alignment horizontal="center" vertical="center" wrapText="1"/>
    </xf>
    <xf numFmtId="0" fontId="6" fillId="0" borderId="12" xfId="0" applyFont="1" applyBorder="1" applyAlignment="1">
      <alignment horizontal="left"/>
    </xf>
    <xf numFmtId="0" fontId="20" fillId="0" borderId="0" xfId="0" applyFont="1" applyAlignment="1">
      <alignment horizontal="left"/>
    </xf>
    <xf numFmtId="0" fontId="2" fillId="0" borderId="0" xfId="0" applyFont="1" applyAlignment="1">
      <alignment horizontal="left"/>
    </xf>
    <xf numFmtId="0" fontId="21" fillId="0" borderId="0" xfId="0" applyFont="1" applyAlignment="1">
      <alignment horizontal="center" vertical="center"/>
    </xf>
    <xf numFmtId="0" fontId="20" fillId="0" borderId="0" xfId="0" applyFont="1"/>
    <xf numFmtId="0" fontId="22" fillId="0" borderId="12" xfId="0" applyFont="1" applyBorder="1" applyAlignment="1">
      <alignment horizontal="left"/>
    </xf>
    <xf numFmtId="0" fontId="23" fillId="0" borderId="12" xfId="0" applyFont="1" applyBorder="1" applyAlignment="1">
      <alignment horizontal="center" vertical="center"/>
    </xf>
    <xf numFmtId="0" fontId="24" fillId="0" borderId="14" xfId="0" applyFont="1" applyBorder="1"/>
    <xf numFmtId="44" fontId="5" fillId="0" borderId="0" xfId="0" applyNumberFormat="1" applyFont="1"/>
    <xf numFmtId="8" fontId="2" fillId="0" borderId="0" xfId="0" applyNumberFormat="1" applyFont="1"/>
    <xf numFmtId="0" fontId="5" fillId="0" borderId="0" xfId="0" applyFont="1" applyAlignment="1">
      <alignment vertical="center"/>
    </xf>
    <xf numFmtId="0" fontId="6" fillId="0" borderId="0" xfId="0" applyFont="1" applyAlignment="1">
      <alignment vertical="center" wrapText="1"/>
    </xf>
    <xf numFmtId="166" fontId="6" fillId="0" borderId="4" xfId="0" applyNumberFormat="1" applyFont="1" applyBorder="1" applyAlignment="1">
      <alignment horizontal="left"/>
    </xf>
    <xf numFmtId="0" fontId="18" fillId="0" borderId="0" xfId="0" applyFont="1" applyAlignment="1">
      <alignment horizontal="center" wrapText="1"/>
    </xf>
    <xf numFmtId="0" fontId="25" fillId="0" borderId="0" xfId="0" applyFont="1" applyAlignment="1">
      <alignment horizontal="left"/>
    </xf>
    <xf numFmtId="0" fontId="6" fillId="0" borderId="0" xfId="0" applyFont="1" applyAlignment="1">
      <alignment horizontal="right"/>
    </xf>
    <xf numFmtId="0" fontId="5" fillId="0" borderId="0" xfId="0" applyFont="1" applyAlignment="1">
      <alignment horizontal="right" vertical="center"/>
    </xf>
    <xf numFmtId="167" fontId="6" fillId="0" borderId="11" xfId="0" applyNumberFormat="1" applyFont="1" applyBorder="1" applyAlignment="1">
      <alignment horizontal="left"/>
    </xf>
    <xf numFmtId="0" fontId="26" fillId="0" borderId="0" xfId="0" applyFont="1"/>
    <xf numFmtId="0" fontId="2" fillId="0" borderId="0" xfId="0" applyFont="1" applyAlignment="1">
      <alignment wrapText="1"/>
    </xf>
    <xf numFmtId="0" fontId="27" fillId="0" borderId="15" xfId="0" applyFont="1" applyBorder="1" applyAlignment="1">
      <alignment horizontal="center" wrapText="1"/>
    </xf>
    <xf numFmtId="0" fontId="27" fillId="0" borderId="16" xfId="0" applyFont="1" applyBorder="1" applyAlignment="1">
      <alignment horizontal="center" wrapText="1"/>
    </xf>
    <xf numFmtId="0" fontId="28" fillId="0" borderId="15" xfId="0" applyFont="1" applyBorder="1" applyAlignment="1">
      <alignment horizontal="center" wrapText="1"/>
    </xf>
    <xf numFmtId="168" fontId="27" fillId="0" borderId="16" xfId="0" applyNumberFormat="1" applyFont="1" applyBorder="1" applyAlignment="1">
      <alignment horizontal="center" wrapText="1"/>
    </xf>
    <xf numFmtId="166" fontId="27" fillId="0" borderId="16" xfId="0" applyNumberFormat="1" applyFont="1" applyBorder="1" applyAlignment="1">
      <alignment horizontal="center" wrapText="1"/>
    </xf>
    <xf numFmtId="0" fontId="27" fillId="0" borderId="15" xfId="0" applyFont="1" applyBorder="1" applyAlignment="1">
      <alignment horizontal="left" wrapText="1"/>
    </xf>
    <xf numFmtId="0" fontId="29" fillId="0" borderId="0" xfId="0" applyFont="1"/>
    <xf numFmtId="0" fontId="28" fillId="0" borderId="11" xfId="0" applyFont="1" applyBorder="1" applyAlignment="1">
      <alignment horizontal="center" wrapText="1"/>
    </xf>
    <xf numFmtId="14" fontId="28" fillId="0" borderId="11" xfId="0" applyNumberFormat="1" applyFont="1" applyBorder="1" applyAlignment="1">
      <alignment horizontal="center" wrapText="1"/>
    </xf>
    <xf numFmtId="40" fontId="28" fillId="0" borderId="11" xfId="0" applyNumberFormat="1" applyFont="1" applyBorder="1" applyAlignment="1">
      <alignment horizontal="right" wrapText="1"/>
    </xf>
    <xf numFmtId="0" fontId="28" fillId="0" borderId="11" xfId="0" applyFont="1" applyBorder="1" applyAlignment="1">
      <alignment horizontal="left" wrapText="1"/>
    </xf>
    <xf numFmtId="14" fontId="30" fillId="0" borderId="0" xfId="0" applyNumberFormat="1" applyFont="1"/>
    <xf numFmtId="0" fontId="2" fillId="0" borderId="0" xfId="0" quotePrefix="1" applyFont="1" applyAlignment="1">
      <alignment horizontal="left"/>
    </xf>
    <xf numFmtId="0" fontId="0" fillId="0" borderId="0" xfId="0" applyFont="1" applyAlignment="1"/>
    <xf numFmtId="0" fontId="20" fillId="0" borderId="0" xfId="0" applyFont="1" applyAlignment="1">
      <alignment horizontal="left"/>
    </xf>
    <xf numFmtId="0" fontId="14" fillId="0" borderId="0" xfId="0" applyFont="1" applyAlignment="1">
      <alignment horizontal="left"/>
    </xf>
    <xf numFmtId="0" fontId="3" fillId="2" borderId="1" xfId="0" applyFont="1" applyFill="1" applyBorder="1" applyAlignment="1">
      <alignment horizontal="center" vertical="center" wrapText="1"/>
    </xf>
    <xf numFmtId="0" fontId="4" fillId="0" borderId="2" xfId="0" applyFont="1" applyBorder="1"/>
    <xf numFmtId="0" fontId="4" fillId="0" borderId="3" xfId="0" applyFont="1" applyBorder="1"/>
    <xf numFmtId="0" fontId="6" fillId="0" borderId="7" xfId="0" applyFont="1" applyBorder="1" applyAlignment="1">
      <alignment horizontal="left" wrapText="1"/>
    </xf>
    <xf numFmtId="0" fontId="4" fillId="0" borderId="6" xfId="0" applyFont="1" applyBorder="1"/>
    <xf numFmtId="0" fontId="4" fillId="0" borderId="8" xfId="0" applyFont="1" applyBorder="1"/>
    <xf numFmtId="0" fontId="16" fillId="0" borderId="0" xfId="0" applyFont="1" applyAlignment="1">
      <alignment horizontal="left" wrapText="1"/>
    </xf>
    <xf numFmtId="0" fontId="6" fillId="0" borderId="7" xfId="0" applyFont="1" applyBorder="1" applyAlignment="1">
      <alignment horizontal="left"/>
    </xf>
    <xf numFmtId="0" fontId="37" fillId="0" borderId="0" xfId="1" applyAlignment="1"/>
  </cellXfs>
  <cellStyles count="2">
    <cellStyle name="Hyperlink" xfId="1" builtinId="8"/>
    <cellStyle name="Normal" xfId="0" builtinId="0"/>
  </cellStyles>
  <dxfs count="27">
    <dxf>
      <font>
        <color theme="1"/>
      </font>
      <fill>
        <patternFill patternType="none"/>
      </fill>
    </dxf>
    <dxf>
      <fill>
        <patternFill patternType="none"/>
      </fill>
      <border>
        <bottom style="thin">
          <color rgb="FF000000"/>
        </bottom>
      </border>
    </dxf>
    <dxf>
      <font>
        <color theme="1"/>
      </font>
      <fill>
        <patternFill patternType="none"/>
      </fill>
    </dxf>
    <dxf>
      <fill>
        <patternFill patternType="none"/>
      </fill>
      <border>
        <bottom style="thin">
          <color rgb="FF000000"/>
        </bottom>
      </border>
    </dxf>
    <dxf>
      <font>
        <color theme="1"/>
      </font>
      <fill>
        <patternFill patternType="none"/>
      </fill>
    </dxf>
    <dxf>
      <font>
        <color theme="1"/>
      </font>
      <fill>
        <patternFill patternType="none"/>
      </fill>
    </dxf>
    <dxf>
      <fill>
        <patternFill patternType="none"/>
      </fill>
      <border>
        <bottom style="thin">
          <color theme="1"/>
        </bottom>
      </border>
    </dxf>
    <dxf>
      <font>
        <color theme="1"/>
      </font>
      <fill>
        <patternFill patternType="none"/>
      </fill>
    </dxf>
    <dxf>
      <font>
        <color theme="1"/>
      </font>
      <fill>
        <patternFill patternType="none"/>
      </fill>
    </dxf>
    <dxf>
      <fill>
        <patternFill patternType="none"/>
      </fill>
      <border>
        <bottom style="thin">
          <color rgb="FF000000"/>
        </bottom>
      </border>
    </dxf>
    <dxf>
      <font>
        <color theme="1"/>
      </font>
      <fill>
        <patternFill patternType="none"/>
      </fill>
    </dxf>
    <dxf>
      <fill>
        <patternFill patternType="none"/>
      </fill>
      <border>
        <bottom style="thin">
          <color rgb="FF000000"/>
        </bottom>
      </border>
    </dxf>
    <dxf>
      <font>
        <color theme="1"/>
      </font>
      <fill>
        <patternFill patternType="none"/>
      </fill>
    </dxf>
    <dxf>
      <fill>
        <patternFill patternType="none"/>
      </fill>
      <border>
        <bottom style="thin">
          <color rgb="FF000000"/>
        </bottom>
      </border>
    </dxf>
    <dxf>
      <font>
        <color theme="1"/>
      </font>
      <fill>
        <patternFill patternType="none"/>
      </fill>
    </dxf>
    <dxf>
      <font>
        <color theme="1"/>
      </font>
      <fill>
        <patternFill patternType="none"/>
      </fill>
    </dxf>
    <dxf>
      <font>
        <color theme="1"/>
      </font>
      <fill>
        <patternFill patternType="none"/>
      </fill>
    </dxf>
    <dxf>
      <fill>
        <patternFill patternType="none"/>
      </fill>
      <border>
        <bottom style="thin">
          <color rgb="FF000000"/>
        </bottom>
      </border>
    </dxf>
    <dxf>
      <font>
        <color theme="1"/>
      </font>
      <fill>
        <patternFill patternType="none"/>
      </fill>
    </dxf>
    <dxf>
      <fill>
        <patternFill patternType="none"/>
      </fill>
      <border>
        <bottom style="thin">
          <color rgb="FF000000"/>
        </bottom>
      </border>
    </dxf>
    <dxf>
      <font>
        <color theme="1"/>
      </font>
      <fill>
        <patternFill patternType="none"/>
      </fill>
    </dxf>
    <dxf>
      <font>
        <color theme="1"/>
      </font>
      <fill>
        <patternFill patternType="none"/>
      </fill>
    </dxf>
    <dxf>
      <fill>
        <patternFill patternType="none"/>
      </fill>
      <border>
        <bottom style="thin">
          <color rgb="FF000000"/>
        </bottom>
      </border>
    </dxf>
    <dxf>
      <font>
        <color theme="1"/>
      </font>
      <fill>
        <patternFill patternType="none"/>
      </fill>
    </dxf>
    <dxf>
      <fill>
        <patternFill patternType="none"/>
      </fill>
      <border>
        <bottom style="thin">
          <color rgb="FF000000"/>
        </bottom>
      </border>
    </dxf>
    <dxf>
      <font>
        <color theme="1"/>
      </font>
      <fill>
        <patternFill patternType="none"/>
      </fill>
    </dxf>
    <dxf>
      <font>
        <color theme="1"/>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1"/></Relationships>
</file>

<file path=xl/_rels/comments2.xml.rels><?xml version="1.0" encoding="UTF-8" standalone="yes"?>
<Relationships xmlns="http://schemas.openxmlformats.org/package/2006/relationships"><Relationship Id="rId1" Type="http://customschemas.google.com/relationships/workbookmetadata" Target="commentsmeta0"/></Relationships>
</file>

<file path=xl/_rels/comments3.xml.rels><?xml version="1.0" encoding="UTF-8" standalone="yes"?>
<Relationships xmlns="http://schemas.openxmlformats.org/package/2006/relationships"><Relationship Id="rId1" Type="http://customschemas.google.com/relationships/workbookmetadata" Target="commentsmeta4"/></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2"/></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tyles" Target="styles.xml"/><Relationship Id="rId4" Type="http://schemas.openxmlformats.org/officeDocument/2006/relationships/worksheet" Target="worksheets/sheet4.xml"/><Relationship Id="rId14" Type="http://schemas.openxmlformats.org/officeDocument/2006/relationships/theme" Target="theme/theme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hyperlink" Target="https://www.digikey.com/product-detail/en/ween-semiconductors/PHE13005127/1740-1198-ND/1157518" TargetMode="External"/><Relationship Id="rId13" Type="http://schemas.openxmlformats.org/officeDocument/2006/relationships/hyperlink" Target="https://www.digikey.com/product-detail/en/texas-instruments/TLC04ID/296-10230-5-ND/380466" TargetMode="External"/><Relationship Id="rId3" Type="http://schemas.openxmlformats.org/officeDocument/2006/relationships/hyperlink" Target="https://www.digikey.com/product-detail/en/infineon-technologies/IR2110PBF/IR2110PBF-ND/811566" TargetMode="External"/><Relationship Id="rId7" Type="http://schemas.openxmlformats.org/officeDocument/2006/relationships/hyperlink" Target="https://www.digikey.com/product-detail/en/vishay-bc-components/PR02000201001JR500/PPC1.0KW-2CT-ND/597336" TargetMode="External"/><Relationship Id="rId12" Type="http://schemas.openxmlformats.org/officeDocument/2006/relationships/hyperlink" Target="https://www.digikey.com/product-detail/en/analog-devices-inc/AD5627RBRMZ-1REEL7/AD5627RBRMZ-1REEL7CT-ND/4908940" TargetMode="External"/><Relationship Id="rId2" Type="http://schemas.openxmlformats.org/officeDocument/2006/relationships/hyperlink" Target="https://www.digikey.com/product-detail/en/on-semiconductor/2N5401YBU/2N5401YBUOS-ND/975298" TargetMode="External"/><Relationship Id="rId1" Type="http://schemas.openxmlformats.org/officeDocument/2006/relationships/hyperlink" Target="mailto:mick.west@gtri.gatech.edu" TargetMode="External"/><Relationship Id="rId6" Type="http://schemas.openxmlformats.org/officeDocument/2006/relationships/hyperlink" Target="https://www.digikey.com/product-detail/en/infineon-technologies/IRF540NLPBF/IRF540NLPBF-ND/812049" TargetMode="External"/><Relationship Id="rId11" Type="http://schemas.openxmlformats.org/officeDocument/2006/relationships/hyperlink" Target="https://www.digikey.com/product-detail/en/panasonic-electric-works/TQ2SA-3V-Z/255-1228-1-ND/5767573" TargetMode="External"/><Relationship Id="rId5" Type="http://schemas.openxmlformats.org/officeDocument/2006/relationships/hyperlink" Target="https://www.digikey.com/product-detail/en/texas-instruments/LMC555CN-NOPB/LMC555CN-NOPB-ND/32623" TargetMode="External"/><Relationship Id="rId15" Type="http://schemas.openxmlformats.org/officeDocument/2006/relationships/comments" Target="../comments1.xml"/><Relationship Id="rId10" Type="http://schemas.openxmlformats.org/officeDocument/2006/relationships/hyperlink" Target="https://www.digikey.com/product-detail/en/texas-instruments/MSP-EXP432P401R/296-39653-ND/5170609" TargetMode="External"/><Relationship Id="rId4" Type="http://schemas.openxmlformats.org/officeDocument/2006/relationships/hyperlink" Target="https://www.digikey.com/product-detail/en/texas-instruments/TLC372CP/296-1845-5-ND/277490" TargetMode="External"/><Relationship Id="rId9" Type="http://schemas.openxmlformats.org/officeDocument/2006/relationships/hyperlink" Target="https://www.digikey.com/product-detail/en/analog-devices-inc/OP2177CRMZ/OP2177CRMZ-ND/10238174" TargetMode="External"/><Relationship Id="rId1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Z1000"/>
  <sheetViews>
    <sheetView showGridLines="0" workbookViewId="0">
      <selection activeCell="E12" sqref="E12"/>
    </sheetView>
  </sheetViews>
  <sheetFormatPr defaultColWidth="12.625" defaultRowHeight="15" customHeight="1"/>
  <cols>
    <col min="1" max="26" width="8" customWidth="1"/>
  </cols>
  <sheetData>
    <row r="1" spans="1:26" ht="23.25">
      <c r="A1" s="1" t="s">
        <v>0</v>
      </c>
      <c r="B1" s="2"/>
      <c r="C1" s="2"/>
      <c r="D1" s="2"/>
      <c r="E1" s="2"/>
      <c r="F1" s="2"/>
      <c r="G1" s="2"/>
      <c r="H1" s="2"/>
      <c r="I1" s="2"/>
      <c r="J1" s="2"/>
      <c r="K1" s="2"/>
      <c r="L1" s="2"/>
      <c r="M1" s="2"/>
      <c r="N1" s="2"/>
      <c r="O1" s="2"/>
      <c r="P1" s="2"/>
      <c r="Q1" s="2"/>
      <c r="R1" s="2"/>
      <c r="S1" s="2"/>
      <c r="T1" s="2"/>
      <c r="U1" s="2"/>
      <c r="V1" s="2"/>
      <c r="W1" s="2"/>
      <c r="X1" s="2"/>
      <c r="Y1" s="2"/>
      <c r="Z1" s="2"/>
    </row>
    <row r="2" spans="1:26">
      <c r="A2" s="2" t="s">
        <v>3</v>
      </c>
      <c r="B2" s="2"/>
      <c r="C2" s="2"/>
      <c r="D2" s="2"/>
      <c r="E2" s="2"/>
      <c r="F2" s="2"/>
      <c r="G2" s="2"/>
      <c r="H2" s="2"/>
      <c r="I2" s="2"/>
      <c r="J2" s="2"/>
      <c r="K2" s="2"/>
      <c r="L2" s="2"/>
      <c r="M2" s="2"/>
      <c r="N2" s="2"/>
      <c r="O2" s="2"/>
      <c r="P2" s="2"/>
      <c r="Q2" s="2"/>
      <c r="R2" s="2"/>
      <c r="S2" s="2"/>
      <c r="T2" s="2"/>
      <c r="U2" s="2"/>
      <c r="V2" s="2"/>
      <c r="W2" s="2"/>
      <c r="X2" s="2"/>
      <c r="Y2" s="2"/>
      <c r="Z2" s="2"/>
    </row>
    <row r="3" spans="1:26">
      <c r="A3" s="2" t="s">
        <v>4</v>
      </c>
      <c r="B3" s="2"/>
      <c r="C3" s="2"/>
      <c r="D3" s="2"/>
      <c r="E3" s="2"/>
      <c r="F3" s="2"/>
      <c r="G3" s="2"/>
      <c r="H3" s="2"/>
      <c r="I3" s="2"/>
      <c r="J3" s="2"/>
      <c r="K3" s="2"/>
      <c r="L3" s="2"/>
      <c r="M3" s="2"/>
      <c r="N3" s="2"/>
      <c r="O3" s="2"/>
      <c r="P3" s="2"/>
      <c r="Q3" s="2"/>
      <c r="R3" s="2"/>
      <c r="S3" s="2"/>
      <c r="T3" s="2"/>
      <c r="U3" s="2"/>
      <c r="V3" s="2"/>
      <c r="W3" s="2"/>
      <c r="X3" s="2"/>
      <c r="Y3" s="2"/>
      <c r="Z3" s="2"/>
    </row>
    <row r="4" spans="1:26">
      <c r="A4" s="2"/>
      <c r="B4" s="2"/>
      <c r="C4" s="2"/>
      <c r="D4" s="2"/>
      <c r="E4" s="2"/>
      <c r="F4" s="2"/>
      <c r="G4" s="2"/>
      <c r="H4" s="2"/>
      <c r="I4" s="2"/>
      <c r="J4" s="2"/>
      <c r="K4" s="2"/>
      <c r="L4" s="2"/>
      <c r="M4" s="2"/>
      <c r="N4" s="2"/>
      <c r="O4" s="2"/>
      <c r="P4" s="2"/>
      <c r="Q4" s="2"/>
      <c r="R4" s="2"/>
      <c r="S4" s="2"/>
      <c r="T4" s="2"/>
      <c r="U4" s="2"/>
      <c r="V4" s="2"/>
      <c r="W4" s="2"/>
      <c r="X4" s="2"/>
      <c r="Y4" s="2"/>
      <c r="Z4" s="2"/>
    </row>
    <row r="5" spans="1:26" ht="15.75">
      <c r="A5" s="3" t="s">
        <v>7</v>
      </c>
      <c r="B5" s="2"/>
      <c r="C5" s="2"/>
      <c r="D5" s="2"/>
      <c r="E5" s="2"/>
      <c r="F5" s="2"/>
      <c r="G5" s="2"/>
      <c r="H5" s="2"/>
      <c r="I5" s="2"/>
      <c r="J5" s="2"/>
      <c r="K5" s="2"/>
      <c r="L5" s="2"/>
      <c r="M5" s="2"/>
      <c r="N5" s="2"/>
      <c r="O5" s="2"/>
      <c r="P5" s="2"/>
      <c r="Q5" s="2"/>
      <c r="R5" s="2"/>
      <c r="S5" s="2"/>
      <c r="T5" s="2"/>
      <c r="U5" s="2"/>
      <c r="V5" s="2"/>
      <c r="W5" s="2"/>
      <c r="X5" s="2"/>
      <c r="Y5" s="2"/>
      <c r="Z5" s="2"/>
    </row>
    <row r="6" spans="1:26">
      <c r="A6" s="2"/>
      <c r="B6" s="7" t="s">
        <v>10</v>
      </c>
      <c r="C6" s="2"/>
      <c r="D6" s="2"/>
      <c r="E6" s="2"/>
      <c r="F6" s="2"/>
      <c r="G6" s="2"/>
      <c r="H6" s="2"/>
      <c r="I6" s="2"/>
      <c r="J6" s="2"/>
      <c r="K6" s="2"/>
      <c r="L6" s="2"/>
      <c r="M6" s="2"/>
      <c r="N6" s="2"/>
      <c r="O6" s="2"/>
      <c r="P6" s="2"/>
      <c r="Q6" s="2"/>
      <c r="R6" s="2"/>
      <c r="S6" s="2"/>
      <c r="T6" s="2"/>
      <c r="U6" s="2"/>
      <c r="V6" s="2"/>
      <c r="W6" s="2"/>
      <c r="X6" s="2"/>
      <c r="Y6" s="2"/>
      <c r="Z6" s="2"/>
    </row>
    <row r="7" spans="1:26">
      <c r="A7" s="2"/>
      <c r="B7" s="2"/>
      <c r="C7" s="2"/>
      <c r="D7" s="2"/>
      <c r="E7" s="2"/>
      <c r="F7" s="2"/>
      <c r="G7" s="2"/>
      <c r="H7" s="2"/>
      <c r="I7" s="2"/>
      <c r="J7" s="2"/>
      <c r="K7" s="2"/>
      <c r="L7" s="2"/>
      <c r="M7" s="2"/>
      <c r="N7" s="2"/>
      <c r="O7" s="2"/>
      <c r="P7" s="2"/>
      <c r="Q7" s="2"/>
      <c r="R7" s="2"/>
      <c r="S7" s="2"/>
      <c r="T7" s="2"/>
      <c r="U7" s="2"/>
      <c r="V7" s="2"/>
      <c r="W7" s="2"/>
      <c r="X7" s="2"/>
      <c r="Y7" s="2"/>
      <c r="Z7" s="2"/>
    </row>
    <row r="8" spans="1:26">
      <c r="A8" s="11" t="s">
        <v>15</v>
      </c>
      <c r="B8" s="2"/>
      <c r="C8" s="2"/>
      <c r="D8" s="2"/>
      <c r="E8" s="2"/>
      <c r="F8" s="2"/>
      <c r="G8" s="2"/>
      <c r="H8" s="2"/>
      <c r="I8" s="2"/>
      <c r="J8" s="2"/>
      <c r="K8" s="2"/>
      <c r="L8" s="2"/>
      <c r="M8" s="2"/>
      <c r="N8" s="2"/>
      <c r="O8" s="2"/>
      <c r="P8" s="2"/>
      <c r="Q8" s="2"/>
      <c r="R8" s="2"/>
      <c r="S8" s="2"/>
      <c r="T8" s="2"/>
      <c r="U8" s="2"/>
      <c r="V8" s="2"/>
      <c r="W8" s="2"/>
      <c r="X8" s="2"/>
      <c r="Y8" s="2"/>
      <c r="Z8" s="2"/>
    </row>
    <row r="9" spans="1:26">
      <c r="A9" s="13" t="s">
        <v>18</v>
      </c>
      <c r="B9" s="2"/>
      <c r="C9" s="2"/>
      <c r="D9" s="2"/>
      <c r="E9" s="2"/>
      <c r="F9" s="2"/>
      <c r="G9" s="2"/>
      <c r="H9" s="2"/>
      <c r="I9" s="2"/>
      <c r="J9" s="2"/>
      <c r="K9" s="2"/>
      <c r="L9" s="2"/>
      <c r="M9" s="2"/>
      <c r="N9" s="2"/>
      <c r="O9" s="2"/>
      <c r="P9" s="2"/>
      <c r="Q9" s="2"/>
      <c r="R9" s="2"/>
      <c r="S9" s="2"/>
      <c r="T9" s="2"/>
      <c r="U9" s="2"/>
      <c r="V9" s="2"/>
      <c r="W9" s="2"/>
      <c r="X9" s="2"/>
      <c r="Y9" s="2"/>
      <c r="Z9" s="2"/>
    </row>
    <row r="10" spans="1:26">
      <c r="A10" s="17" t="s">
        <v>20</v>
      </c>
      <c r="B10" s="2"/>
      <c r="C10" s="2"/>
      <c r="D10" s="2"/>
      <c r="E10" s="2"/>
      <c r="F10" s="2"/>
      <c r="G10" s="2"/>
      <c r="H10" s="2"/>
      <c r="I10" s="2"/>
      <c r="J10" s="2"/>
      <c r="K10" s="2"/>
      <c r="L10" s="2"/>
      <c r="M10" s="2"/>
      <c r="N10" s="2"/>
      <c r="O10" s="2"/>
      <c r="P10" s="2"/>
      <c r="Q10" s="2"/>
      <c r="R10" s="2"/>
      <c r="S10" s="2"/>
      <c r="T10" s="2"/>
      <c r="U10" s="2"/>
      <c r="V10" s="2"/>
      <c r="W10" s="2"/>
      <c r="X10" s="2"/>
      <c r="Y10" s="2"/>
      <c r="Z10" s="2"/>
    </row>
    <row r="11" spans="1:26">
      <c r="A11" s="19" t="s">
        <v>25</v>
      </c>
      <c r="B11" s="2"/>
      <c r="C11" s="2"/>
      <c r="D11" s="2"/>
      <c r="E11" s="2"/>
      <c r="F11" s="2"/>
      <c r="G11" s="2"/>
      <c r="H11" s="2"/>
      <c r="I11" s="2"/>
      <c r="J11" s="2"/>
      <c r="K11" s="2"/>
      <c r="L11" s="2"/>
      <c r="M11" s="2"/>
      <c r="N11" s="2"/>
      <c r="O11" s="2"/>
      <c r="P11" s="2"/>
      <c r="Q11" s="2"/>
      <c r="R11" s="2"/>
      <c r="S11" s="2"/>
      <c r="T11" s="2"/>
      <c r="U11" s="2"/>
      <c r="V11" s="2"/>
      <c r="W11" s="2"/>
      <c r="X11" s="2"/>
      <c r="Y11" s="2"/>
      <c r="Z11" s="2"/>
    </row>
    <row r="12" spans="1:26">
      <c r="A12" s="2" t="s">
        <v>29</v>
      </c>
      <c r="B12" s="2"/>
      <c r="C12" s="2"/>
      <c r="D12" s="2"/>
      <c r="E12" s="2"/>
      <c r="F12" s="2"/>
      <c r="G12" s="2"/>
      <c r="H12" s="2"/>
      <c r="I12" s="2"/>
      <c r="J12" s="2"/>
      <c r="K12" s="2"/>
      <c r="L12" s="2"/>
      <c r="M12" s="2"/>
      <c r="N12" s="2"/>
      <c r="O12" s="2"/>
      <c r="P12" s="2"/>
      <c r="Q12" s="2"/>
      <c r="R12" s="2"/>
      <c r="S12" s="2"/>
      <c r="T12" s="2"/>
      <c r="U12" s="2"/>
      <c r="V12" s="2"/>
      <c r="W12" s="2"/>
      <c r="X12" s="2"/>
      <c r="Y12" s="2"/>
      <c r="Z12" s="2"/>
    </row>
    <row r="13" spans="1:26">
      <c r="A13" s="19" t="s">
        <v>31</v>
      </c>
      <c r="B13" s="2"/>
      <c r="C13" s="2"/>
      <c r="D13" s="2"/>
      <c r="E13" s="2"/>
      <c r="F13" s="2"/>
      <c r="G13" s="2"/>
      <c r="H13" s="2"/>
      <c r="I13" s="2"/>
      <c r="J13" s="2"/>
      <c r="K13" s="2"/>
      <c r="L13" s="2"/>
      <c r="M13" s="2"/>
      <c r="N13" s="2"/>
      <c r="O13" s="2"/>
      <c r="P13" s="2"/>
      <c r="Q13" s="2"/>
      <c r="R13" s="2"/>
      <c r="S13" s="2"/>
      <c r="T13" s="2"/>
      <c r="U13" s="2"/>
      <c r="V13" s="2"/>
      <c r="W13" s="2"/>
      <c r="X13" s="2"/>
      <c r="Y13" s="2"/>
      <c r="Z13" s="2"/>
    </row>
    <row r="14" spans="1:26">
      <c r="A14" s="13" t="s">
        <v>35</v>
      </c>
      <c r="B14" s="2"/>
      <c r="C14" s="2"/>
      <c r="D14" s="2"/>
      <c r="E14" s="2"/>
      <c r="F14" s="2"/>
      <c r="G14" s="2"/>
      <c r="H14" s="2"/>
      <c r="I14" s="2"/>
      <c r="J14" s="2"/>
      <c r="K14" s="2"/>
      <c r="L14" s="2"/>
      <c r="M14" s="2"/>
      <c r="N14" s="2"/>
      <c r="O14" s="2"/>
      <c r="P14" s="2"/>
      <c r="Q14" s="2"/>
      <c r="R14" s="2"/>
      <c r="S14" s="2"/>
      <c r="T14" s="2"/>
      <c r="U14" s="2"/>
      <c r="V14" s="2"/>
      <c r="W14" s="2"/>
      <c r="X14" s="2"/>
      <c r="Y14" s="2"/>
      <c r="Z14" s="2"/>
    </row>
    <row r="15" spans="1:26">
      <c r="A15" s="19" t="s">
        <v>36</v>
      </c>
      <c r="B15" s="2"/>
      <c r="C15" s="2"/>
      <c r="D15" s="2"/>
      <c r="E15" s="2"/>
      <c r="F15" s="2"/>
      <c r="G15" s="2"/>
      <c r="H15" s="2"/>
      <c r="I15" s="2"/>
      <c r="J15" s="2"/>
      <c r="K15" s="2"/>
      <c r="L15" s="2"/>
      <c r="M15" s="2"/>
      <c r="N15" s="2"/>
      <c r="O15" s="2"/>
      <c r="P15" s="2"/>
      <c r="Q15" s="2"/>
      <c r="R15" s="2"/>
      <c r="S15" s="2"/>
      <c r="T15" s="2"/>
      <c r="U15" s="2"/>
      <c r="V15" s="2"/>
      <c r="W15" s="2"/>
      <c r="X15" s="2"/>
      <c r="Y15" s="2"/>
      <c r="Z15" s="2"/>
    </row>
    <row r="16" spans="1:26">
      <c r="A16" s="19" t="s">
        <v>38</v>
      </c>
      <c r="B16" s="2"/>
      <c r="C16" s="2"/>
      <c r="D16" s="2"/>
      <c r="E16" s="2"/>
      <c r="F16" s="2"/>
      <c r="G16" s="2"/>
      <c r="H16" s="2"/>
      <c r="I16" s="2"/>
      <c r="J16" s="2"/>
      <c r="K16" s="2"/>
      <c r="L16" s="2"/>
      <c r="M16" s="2"/>
      <c r="N16" s="2"/>
      <c r="O16" s="2"/>
      <c r="P16" s="2"/>
      <c r="Q16" s="2"/>
      <c r="R16" s="2"/>
      <c r="S16" s="2"/>
      <c r="T16" s="2"/>
      <c r="U16" s="2"/>
      <c r="V16" s="2"/>
      <c r="W16" s="2"/>
      <c r="X16" s="2"/>
      <c r="Y16" s="2"/>
      <c r="Z16" s="2"/>
    </row>
    <row r="17" spans="1:26">
      <c r="A17" s="19" t="s">
        <v>42</v>
      </c>
      <c r="B17" s="2"/>
      <c r="C17" s="2"/>
      <c r="D17" s="2"/>
      <c r="E17" s="2"/>
      <c r="F17" s="2"/>
      <c r="G17" s="2"/>
      <c r="H17" s="2"/>
      <c r="I17" s="2"/>
      <c r="J17" s="2"/>
      <c r="K17" s="2"/>
      <c r="L17" s="2"/>
      <c r="M17" s="2"/>
      <c r="N17" s="2"/>
      <c r="O17" s="2"/>
      <c r="P17" s="2"/>
      <c r="Q17" s="2"/>
      <c r="R17" s="2"/>
      <c r="S17" s="2"/>
      <c r="T17" s="2"/>
      <c r="U17" s="2"/>
      <c r="V17" s="2"/>
      <c r="W17" s="2"/>
      <c r="X17" s="2"/>
      <c r="Y17" s="2"/>
      <c r="Z17" s="2"/>
    </row>
    <row r="18" spans="1:26" ht="10.5" customHeight="1">
      <c r="A18" s="19" t="s">
        <v>45</v>
      </c>
      <c r="B18" s="2"/>
      <c r="C18" s="2"/>
      <c r="D18" s="2"/>
      <c r="E18" s="2"/>
      <c r="F18" s="2"/>
      <c r="G18" s="2"/>
      <c r="H18" s="2"/>
      <c r="I18" s="2"/>
      <c r="J18" s="2"/>
      <c r="K18" s="2"/>
      <c r="L18" s="2"/>
      <c r="M18" s="2"/>
      <c r="N18" s="2"/>
      <c r="O18" s="2"/>
      <c r="P18" s="2"/>
      <c r="Q18" s="2"/>
      <c r="R18" s="2"/>
      <c r="S18" s="2"/>
      <c r="T18" s="2"/>
      <c r="U18" s="2"/>
      <c r="V18" s="2"/>
      <c r="W18" s="2"/>
      <c r="X18" s="2"/>
      <c r="Y18" s="2"/>
      <c r="Z18" s="2"/>
    </row>
    <row r="19" spans="1:26">
      <c r="A19" s="13" t="s">
        <v>46</v>
      </c>
      <c r="B19" s="2"/>
      <c r="C19" s="2"/>
      <c r="D19" s="2"/>
      <c r="E19" s="2"/>
      <c r="F19" s="2"/>
      <c r="G19" s="2"/>
      <c r="H19" s="2"/>
      <c r="I19" s="2"/>
      <c r="J19" s="24"/>
      <c r="K19" s="2"/>
      <c r="L19" s="2"/>
      <c r="M19" s="2"/>
      <c r="N19" s="2"/>
      <c r="O19" s="2"/>
      <c r="P19" s="2"/>
      <c r="Q19" s="2"/>
      <c r="R19" s="2"/>
      <c r="S19" s="2"/>
      <c r="T19" s="2"/>
      <c r="U19" s="2"/>
      <c r="V19" s="2"/>
      <c r="W19" s="2"/>
      <c r="X19" s="2"/>
      <c r="Y19" s="2"/>
      <c r="Z19" s="2"/>
    </row>
    <row r="20" spans="1:26">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c r="A21" s="1" t="s">
        <v>49</v>
      </c>
      <c r="B21" s="2"/>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c r="A22" s="27" t="s">
        <v>51</v>
      </c>
      <c r="B22" s="2"/>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c r="A23" s="2"/>
      <c r="B23" s="2" t="s">
        <v>52</v>
      </c>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c r="A24" s="2"/>
      <c r="B24" s="2" t="s">
        <v>54</v>
      </c>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c r="A25" s="2"/>
      <c r="B25" s="2" t="s">
        <v>57</v>
      </c>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c r="A27" s="2" t="s">
        <v>60</v>
      </c>
      <c r="B27" s="2"/>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c r="A28" s="2"/>
      <c r="B28" s="2" t="s">
        <v>61</v>
      </c>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c r="A29" s="2"/>
      <c r="B29" s="2" t="s">
        <v>62</v>
      </c>
      <c r="C29" s="2"/>
      <c r="D29" s="2"/>
      <c r="E29" s="2"/>
      <c r="F29" s="2"/>
      <c r="G29" s="2"/>
      <c r="H29" s="2"/>
      <c r="I29" s="2"/>
      <c r="J29" s="2"/>
      <c r="K29" s="2"/>
      <c r="L29" s="2"/>
      <c r="M29" s="2"/>
      <c r="N29" s="2"/>
      <c r="O29" s="2"/>
      <c r="P29" s="2"/>
      <c r="Q29" s="2"/>
      <c r="R29" s="2"/>
      <c r="S29" s="2"/>
      <c r="T29" s="2"/>
      <c r="U29" s="2"/>
      <c r="V29" s="2"/>
      <c r="W29" s="2"/>
      <c r="X29" s="2"/>
      <c r="Y29" s="2"/>
      <c r="Z29" s="2"/>
    </row>
    <row r="30" spans="1:26" ht="15.75" customHeight="1">
      <c r="A30" s="2"/>
      <c r="B30" s="2" t="s">
        <v>57</v>
      </c>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c r="A31" s="2"/>
      <c r="B31" s="2" t="s">
        <v>64</v>
      </c>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c r="A32" s="2"/>
      <c r="B32" s="2" t="s">
        <v>66</v>
      </c>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c r="A33" s="2"/>
      <c r="B33" s="2" t="s">
        <v>67</v>
      </c>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c r="A35" s="27" t="s">
        <v>71</v>
      </c>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c r="A36" s="2"/>
      <c r="B36" s="2" t="s">
        <v>61</v>
      </c>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c r="A37" s="2"/>
      <c r="B37" s="2" t="s">
        <v>73</v>
      </c>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c r="A39" s="2" t="s">
        <v>77</v>
      </c>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c r="A40" s="2"/>
      <c r="B40" s="2" t="s">
        <v>61</v>
      </c>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c r="A41" s="2"/>
      <c r="B41" s="2" t="s">
        <v>62</v>
      </c>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c r="A42" s="2"/>
      <c r="B42" s="2" t="s">
        <v>82</v>
      </c>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c r="A43" s="2"/>
      <c r="B43" s="2" t="s">
        <v>83</v>
      </c>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c r="A45" s="27" t="s">
        <v>92</v>
      </c>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c r="A46" s="2"/>
      <c r="B46" s="2" t="s">
        <v>93</v>
      </c>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c r="A47" s="2"/>
      <c r="B47" s="2" t="s">
        <v>94</v>
      </c>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c r="A48" s="2"/>
      <c r="B48" s="2" t="s">
        <v>95</v>
      </c>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c r="A49" s="2"/>
      <c r="B49" s="2" t="s">
        <v>97</v>
      </c>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c r="A51" s="84" t="s">
        <v>99</v>
      </c>
      <c r="B51" s="85"/>
      <c r="C51" s="85"/>
      <c r="D51" s="85"/>
      <c r="E51" s="85"/>
      <c r="F51" s="85"/>
      <c r="G51" s="85"/>
      <c r="H51" s="85"/>
      <c r="I51" s="85"/>
      <c r="J51" s="85"/>
      <c r="K51" s="85"/>
      <c r="L51" s="85"/>
      <c r="M51" s="85"/>
      <c r="N51" s="85"/>
      <c r="O51" s="85"/>
      <c r="P51" s="85"/>
      <c r="Q51" s="85"/>
      <c r="R51" s="85"/>
      <c r="S51" s="85"/>
      <c r="T51" s="85"/>
      <c r="U51" s="85"/>
      <c r="V51" s="2"/>
      <c r="W51" s="2"/>
      <c r="X51" s="2"/>
      <c r="Y51" s="2"/>
      <c r="Z51" s="2"/>
    </row>
    <row r="52" spans="1:26" ht="15.75" customHeight="1">
      <c r="A52" s="2"/>
      <c r="B52" s="2" t="s">
        <v>100</v>
      </c>
      <c r="C52" s="2"/>
      <c r="D52" s="2"/>
      <c r="E52" s="2"/>
      <c r="F52" s="2"/>
      <c r="G52" s="2"/>
      <c r="H52" s="2"/>
      <c r="I52" s="2"/>
      <c r="J52" s="2"/>
      <c r="K52" s="2"/>
      <c r="L52" s="2"/>
      <c r="M52" s="2"/>
      <c r="N52" s="2"/>
      <c r="O52" s="2"/>
      <c r="P52" s="2"/>
      <c r="Q52" s="2"/>
      <c r="R52" s="2"/>
      <c r="S52" s="2"/>
      <c r="T52" s="2"/>
      <c r="U52" s="2"/>
      <c r="V52" s="2"/>
      <c r="W52" s="2"/>
      <c r="X52" s="2"/>
      <c r="Y52" s="2"/>
      <c r="Z52" s="2"/>
    </row>
    <row r="53" spans="1:26" ht="10.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c r="A54" s="1" t="s">
        <v>102</v>
      </c>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c r="A55" s="86" t="str">
        <f>HYPERLINK("File:////\\fs1.elsys.gtri.org\lab\ELSYS-All\Procurement\Account Codes-Spend Category - FY20.xlsx","Spend Category")</f>
        <v>Spend Category</v>
      </c>
      <c r="B55" s="85"/>
      <c r="C55" s="85"/>
      <c r="D55" s="54"/>
      <c r="E55" s="2"/>
      <c r="F55" s="2"/>
      <c r="G55" s="2"/>
      <c r="H55" s="2"/>
      <c r="I55" s="2"/>
      <c r="J55" s="2"/>
      <c r="K55" s="2"/>
      <c r="L55" s="2"/>
      <c r="M55" s="2"/>
      <c r="N55" s="2"/>
      <c r="O55" s="2"/>
      <c r="P55" s="2"/>
      <c r="Q55" s="2"/>
      <c r="R55" s="2"/>
      <c r="S55" s="2"/>
      <c r="T55" s="2"/>
      <c r="U55" s="2"/>
      <c r="V55" s="2"/>
      <c r="W55" s="2"/>
      <c r="X55" s="2"/>
      <c r="Y55" s="2"/>
      <c r="Z55" s="2"/>
    </row>
    <row r="56" spans="1:26" ht="15.75" customHeight="1">
      <c r="A56" s="87" t="str">
        <f>HYPERLINK("http://doas.ga.gov/state-purchasing/purchasing-tools/nigp-codes","NIGP Codes")</f>
        <v>NIGP Codes</v>
      </c>
      <c r="B56" s="85"/>
      <c r="C56" s="85"/>
      <c r="D56" s="54"/>
      <c r="E56" s="2"/>
      <c r="F56" s="2"/>
      <c r="G56" s="2"/>
      <c r="H56" s="2"/>
      <c r="I56" s="2"/>
      <c r="J56" s="2"/>
      <c r="K56" s="2"/>
      <c r="L56" s="2"/>
      <c r="M56" s="2"/>
      <c r="N56" s="2"/>
      <c r="O56" s="2"/>
      <c r="P56" s="2"/>
      <c r="Q56" s="2"/>
      <c r="R56" s="2"/>
      <c r="S56" s="2"/>
      <c r="T56" s="2"/>
      <c r="U56" s="2"/>
      <c r="V56" s="2"/>
      <c r="W56" s="2"/>
      <c r="X56" s="2"/>
      <c r="Y56" s="2"/>
      <c r="Z56" s="2"/>
    </row>
    <row r="57" spans="1:26" ht="15.75" customHeight="1">
      <c r="A57" s="56" t="str">
        <f>HYPERLINK("File:////\\fs1.elsys.gtri.org\lab\ELSYS-All\Procurement\Consulting Form - Apex.doc","Consulting Form - Apex Systems")</f>
        <v>Consulting Form - Apex Systems</v>
      </c>
      <c r="B57" s="24"/>
      <c r="C57" s="24"/>
      <c r="D57" s="54"/>
      <c r="E57" s="2"/>
      <c r="F57" s="2"/>
      <c r="G57" s="2"/>
      <c r="H57" s="2"/>
      <c r="I57" s="2"/>
      <c r="J57" s="2"/>
      <c r="K57" s="2"/>
      <c r="L57" s="2"/>
      <c r="M57" s="2"/>
      <c r="N57" s="2"/>
      <c r="O57" s="2"/>
      <c r="P57" s="2"/>
      <c r="Q57" s="2"/>
      <c r="R57" s="2"/>
      <c r="S57" s="2"/>
      <c r="T57" s="2"/>
      <c r="U57" s="2"/>
      <c r="V57" s="2"/>
      <c r="W57" s="2"/>
      <c r="X57" s="2"/>
      <c r="Y57" s="2"/>
      <c r="Z57" s="2"/>
    </row>
    <row r="58" spans="1:26" ht="15.75" customHeight="1">
      <c r="A58" s="56" t="str">
        <f>HYPERLINK("File:////\\fs1.elsys.gtri.org\lab\ELSYS-All\Procurement\Consulting Form - Insight Global.doc","Consulting Form - Insight Global")</f>
        <v>Consulting Form - Insight Global</v>
      </c>
      <c r="B58" s="24"/>
      <c r="C58" s="24"/>
      <c r="D58" s="54"/>
      <c r="E58" s="2"/>
      <c r="F58" s="2"/>
      <c r="G58" s="2"/>
      <c r="H58" s="2"/>
      <c r="I58" s="2"/>
      <c r="J58" s="2"/>
      <c r="K58" s="2"/>
      <c r="L58" s="2"/>
      <c r="M58" s="2"/>
      <c r="N58" s="2"/>
      <c r="O58" s="2"/>
      <c r="P58" s="2"/>
      <c r="Q58" s="2"/>
      <c r="R58" s="2"/>
      <c r="S58" s="2"/>
      <c r="T58" s="2"/>
      <c r="U58" s="2"/>
      <c r="V58" s="2"/>
      <c r="W58" s="2"/>
      <c r="X58" s="2"/>
      <c r="Y58" s="2"/>
      <c r="Z58" s="2"/>
    </row>
    <row r="59" spans="1:26" ht="15.75" customHeight="1">
      <c r="A59" s="86" t="str">
        <f>HYPERLINK("File:////\\fs1.elsys.gtri.org\lab\ELSYS-All\Procurement\Sole Source Form.pdf","Sole Source Form")</f>
        <v>Sole Source Form</v>
      </c>
      <c r="B59" s="85"/>
      <c r="C59" s="85"/>
      <c r="D59" s="54"/>
      <c r="E59" s="2"/>
      <c r="F59" s="2"/>
      <c r="G59" s="2"/>
      <c r="H59" s="2"/>
      <c r="I59" s="2"/>
      <c r="J59" s="2"/>
      <c r="K59" s="2"/>
      <c r="L59" s="2"/>
      <c r="M59" s="2"/>
      <c r="N59" s="2"/>
      <c r="O59" s="2"/>
      <c r="P59" s="2"/>
      <c r="Q59" s="2"/>
      <c r="R59" s="2"/>
      <c r="S59" s="2"/>
      <c r="T59" s="2"/>
      <c r="U59" s="2"/>
      <c r="V59" s="2"/>
      <c r="W59" s="2"/>
      <c r="X59" s="2"/>
      <c r="Y59" s="2"/>
      <c r="Z59" s="2"/>
    </row>
    <row r="60" spans="1:26" ht="15.75" customHeight="1">
      <c r="A60" s="53" t="str">
        <f>HYPERLINK("File:////\\fs1.elsys.gtri.org\lab\ELSYS-All\Procurement\ELSYS NonConforming Procured Item Record_I9001L0000F08.docx","ELSYS NonConforming Procured Item")</f>
        <v>ELSYS NonConforming Procured Item</v>
      </c>
      <c r="B60" s="23"/>
      <c r="C60" s="23"/>
      <c r="D60" s="54"/>
      <c r="E60" s="2"/>
      <c r="F60" s="2"/>
      <c r="G60" s="2"/>
      <c r="H60" s="2"/>
      <c r="I60" s="2"/>
      <c r="J60" s="2"/>
      <c r="K60" s="2"/>
      <c r="L60" s="2"/>
      <c r="M60" s="2"/>
      <c r="N60" s="2"/>
      <c r="O60" s="2"/>
      <c r="P60" s="2"/>
      <c r="Q60" s="2"/>
      <c r="R60" s="2"/>
      <c r="S60" s="2"/>
      <c r="T60" s="2"/>
      <c r="U60" s="2"/>
      <c r="V60" s="2"/>
      <c r="W60" s="2"/>
      <c r="X60" s="2"/>
      <c r="Y60" s="2"/>
      <c r="Z60" s="2"/>
    </row>
    <row r="61" spans="1:26" ht="15.75" customHeight="1">
      <c r="A61" s="86" t="str">
        <f>HYPERLINK("File:////\\fs1.elsys.gtri.org\lab\ELSYS-All\Procurement\Replacement Packing Slip.docx","Replacement Packing Slip")</f>
        <v>Replacement Packing Slip</v>
      </c>
      <c r="B61" s="85"/>
      <c r="C61" s="85"/>
      <c r="D61" s="85"/>
      <c r="E61" s="2"/>
      <c r="F61" s="2"/>
      <c r="G61" s="2"/>
      <c r="H61" s="2"/>
      <c r="I61" s="2"/>
      <c r="J61" s="2"/>
      <c r="K61" s="2"/>
      <c r="L61" s="2"/>
      <c r="M61" s="2"/>
      <c r="N61" s="2"/>
      <c r="O61" s="2"/>
      <c r="P61" s="2"/>
      <c r="Q61" s="2"/>
      <c r="R61" s="2"/>
      <c r="S61" s="2"/>
      <c r="T61" s="2"/>
      <c r="U61" s="2"/>
      <c r="V61" s="2"/>
      <c r="W61" s="2"/>
      <c r="X61" s="2"/>
      <c r="Y61" s="2"/>
      <c r="Z61" s="2"/>
    </row>
    <row r="62" spans="1:26" ht="15.75" customHeight="1">
      <c r="A62" s="24"/>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c r="A63" s="1" t="s">
        <v>116</v>
      </c>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t="s">
        <v>120</v>
      </c>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t="s">
        <v>121</v>
      </c>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t="s">
        <v>122</v>
      </c>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t="s">
        <v>125</v>
      </c>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t="s">
        <v>127</v>
      </c>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5">
    <mergeCell ref="A51:U51"/>
    <mergeCell ref="A55:C55"/>
    <mergeCell ref="A56:C56"/>
    <mergeCell ref="A59:C59"/>
    <mergeCell ref="A61:D61"/>
  </mergeCell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tabSelected="1" topLeftCell="A34" workbookViewId="0">
      <selection activeCell="E42" sqref="E42"/>
    </sheetView>
  </sheetViews>
  <sheetFormatPr defaultColWidth="12.625" defaultRowHeight="15" customHeight="1"/>
  <cols>
    <col min="1" max="1" width="13.875" customWidth="1"/>
    <col min="2" max="2" width="35.5" customWidth="1"/>
    <col min="3" max="3" width="34.5" customWidth="1"/>
    <col min="4" max="4" width="11.375" customWidth="1"/>
    <col min="5" max="5" width="13" customWidth="1"/>
    <col min="6" max="6" width="10.875" customWidth="1"/>
    <col min="7" max="7" width="86.125" customWidth="1"/>
    <col min="8" max="26" width="8" customWidth="1"/>
  </cols>
  <sheetData>
    <row r="1" spans="1:26" ht="50.25" customHeight="1">
      <c r="A1" s="88" t="s">
        <v>2</v>
      </c>
      <c r="B1" s="89"/>
      <c r="C1" s="89"/>
      <c r="D1" s="89"/>
      <c r="E1" s="89"/>
      <c r="F1" s="90"/>
      <c r="G1" s="2" t="s">
        <v>5</v>
      </c>
      <c r="H1" s="2"/>
      <c r="I1" s="2"/>
      <c r="J1" s="2"/>
      <c r="K1" s="2"/>
      <c r="L1" s="2"/>
      <c r="M1" s="2"/>
      <c r="N1" s="2"/>
      <c r="O1" s="2"/>
      <c r="P1" s="2"/>
      <c r="Q1" s="2"/>
      <c r="R1" s="2"/>
      <c r="S1" s="2"/>
      <c r="T1" s="2"/>
      <c r="U1" s="2"/>
      <c r="V1" s="2"/>
      <c r="W1" s="2"/>
      <c r="X1" s="2"/>
      <c r="Y1" s="2"/>
      <c r="Z1" s="2"/>
    </row>
    <row r="2" spans="1:26" ht="65.25" customHeight="1">
      <c r="A2" s="3" t="s">
        <v>6</v>
      </c>
      <c r="B2" s="4" t="s">
        <v>8</v>
      </c>
      <c r="C2" s="5" t="s">
        <v>11</v>
      </c>
      <c r="D2" s="6" t="s">
        <v>12</v>
      </c>
      <c r="E2" s="8" t="s">
        <v>14</v>
      </c>
      <c r="F2" s="9" t="s">
        <v>13</v>
      </c>
      <c r="G2" s="10"/>
      <c r="H2" s="2"/>
      <c r="I2" s="2"/>
      <c r="J2" s="2"/>
      <c r="K2" s="2"/>
      <c r="L2" s="2"/>
      <c r="M2" s="2"/>
      <c r="N2" s="2"/>
      <c r="O2" s="2"/>
      <c r="P2" s="2"/>
      <c r="Q2" s="2"/>
      <c r="R2" s="2"/>
      <c r="S2" s="2"/>
      <c r="T2" s="2"/>
      <c r="U2" s="2"/>
      <c r="V2" s="2"/>
      <c r="W2" s="2"/>
      <c r="X2" s="2"/>
      <c r="Y2" s="2"/>
      <c r="Z2" s="2"/>
    </row>
    <row r="3" spans="1:26" ht="15.75">
      <c r="A3" s="3"/>
      <c r="B3" s="4" t="s">
        <v>16</v>
      </c>
      <c r="C3" s="15" t="s">
        <v>17</v>
      </c>
      <c r="D3" s="2"/>
      <c r="E3" s="2"/>
      <c r="F3" s="4"/>
      <c r="G3" s="4"/>
      <c r="H3" s="2"/>
      <c r="I3" s="2"/>
      <c r="J3" s="2"/>
      <c r="K3" s="2"/>
      <c r="L3" s="2"/>
      <c r="M3" s="2"/>
      <c r="N3" s="2"/>
      <c r="O3" s="2"/>
      <c r="P3" s="2"/>
      <c r="Q3" s="2"/>
      <c r="R3" s="2"/>
      <c r="S3" s="2"/>
      <c r="T3" s="2"/>
      <c r="U3" s="2"/>
      <c r="V3" s="2"/>
      <c r="W3" s="2"/>
      <c r="X3" s="2"/>
      <c r="Y3" s="2"/>
      <c r="Z3" s="2"/>
    </row>
    <row r="4" spans="1:26" ht="15.75">
      <c r="A4" s="3"/>
      <c r="B4" s="4" t="s">
        <v>19</v>
      </c>
      <c r="C4" s="14" t="s">
        <v>21</v>
      </c>
      <c r="D4" s="3"/>
      <c r="E4" s="4"/>
      <c r="F4" s="4"/>
      <c r="G4" s="4"/>
      <c r="H4" s="2"/>
      <c r="I4" s="2"/>
      <c r="J4" s="2"/>
      <c r="K4" s="2"/>
      <c r="L4" s="2"/>
      <c r="M4" s="2"/>
      <c r="N4" s="2"/>
      <c r="O4" s="2"/>
      <c r="P4" s="2"/>
      <c r="Q4" s="2"/>
      <c r="R4" s="2"/>
      <c r="S4" s="2"/>
      <c r="T4" s="2"/>
      <c r="U4" s="2"/>
      <c r="V4" s="2"/>
      <c r="W4" s="2"/>
      <c r="X4" s="2"/>
      <c r="Y4" s="2"/>
      <c r="Z4" s="2"/>
    </row>
    <row r="5" spans="1:26" ht="15.75">
      <c r="A5" s="3"/>
      <c r="B5" s="4"/>
      <c r="C5" s="8"/>
      <c r="D5" s="3"/>
      <c r="E5" s="4"/>
      <c r="F5" s="4"/>
      <c r="G5" s="4"/>
      <c r="H5" s="2"/>
      <c r="I5" s="2"/>
      <c r="J5" s="2"/>
      <c r="K5" s="2"/>
      <c r="L5" s="2"/>
      <c r="M5" s="2"/>
      <c r="N5" s="2"/>
      <c r="O5" s="2"/>
      <c r="P5" s="2"/>
      <c r="Q5" s="2"/>
      <c r="R5" s="2"/>
      <c r="S5" s="2"/>
      <c r="T5" s="2"/>
      <c r="U5" s="2"/>
      <c r="V5" s="2"/>
      <c r="W5" s="2"/>
      <c r="X5" s="2"/>
      <c r="Y5" s="2"/>
      <c r="Z5" s="2"/>
    </row>
    <row r="6" spans="1:26" ht="15.75">
      <c r="A6" s="3" t="s">
        <v>22</v>
      </c>
      <c r="B6" s="4" t="s">
        <v>27</v>
      </c>
      <c r="C6" s="8" t="s">
        <v>28</v>
      </c>
      <c r="D6" s="4"/>
      <c r="E6" s="4"/>
      <c r="F6" s="4"/>
      <c r="G6" s="4"/>
      <c r="H6" s="2"/>
      <c r="I6" s="2"/>
      <c r="J6" s="2"/>
      <c r="K6" s="2"/>
      <c r="L6" s="2"/>
      <c r="M6" s="2"/>
      <c r="N6" s="2"/>
      <c r="O6" s="2"/>
      <c r="P6" s="2"/>
      <c r="Q6" s="2"/>
      <c r="R6" s="2"/>
      <c r="S6" s="2"/>
      <c r="T6" s="2"/>
      <c r="U6" s="2"/>
      <c r="V6" s="2"/>
      <c r="W6" s="2"/>
      <c r="X6" s="2"/>
      <c r="Y6" s="2"/>
      <c r="Z6" s="2"/>
    </row>
    <row r="7" spans="1:26" ht="15.75">
      <c r="A7" s="4"/>
      <c r="B7" s="4" t="s">
        <v>30</v>
      </c>
      <c r="C7" s="8" t="s">
        <v>28</v>
      </c>
      <c r="D7" s="4"/>
      <c r="E7" s="4"/>
      <c r="F7" s="4"/>
      <c r="G7" s="4"/>
      <c r="H7" s="2"/>
      <c r="I7" s="2"/>
      <c r="J7" s="2"/>
      <c r="K7" s="2"/>
      <c r="L7" s="2"/>
      <c r="M7" s="2"/>
      <c r="N7" s="2"/>
      <c r="O7" s="2"/>
      <c r="P7" s="2"/>
      <c r="Q7" s="2"/>
      <c r="R7" s="2"/>
      <c r="S7" s="2"/>
      <c r="T7" s="2"/>
      <c r="U7" s="2"/>
      <c r="V7" s="2"/>
      <c r="W7" s="2"/>
      <c r="X7" s="2"/>
      <c r="Y7" s="2"/>
      <c r="Z7" s="2"/>
    </row>
    <row r="8" spans="1:26" ht="15.75">
      <c r="A8" s="4"/>
      <c r="B8" s="4" t="s">
        <v>32</v>
      </c>
      <c r="C8" s="21" t="s">
        <v>28</v>
      </c>
      <c r="D8" s="4"/>
      <c r="E8" s="4"/>
      <c r="F8" s="4"/>
      <c r="G8" s="4"/>
      <c r="H8" s="2"/>
      <c r="I8" s="2"/>
      <c r="J8" s="2"/>
      <c r="K8" s="2"/>
      <c r="L8" s="2"/>
      <c r="M8" s="2"/>
      <c r="N8" s="2"/>
      <c r="O8" s="2"/>
      <c r="P8" s="2"/>
      <c r="Q8" s="2"/>
      <c r="R8" s="2"/>
      <c r="S8" s="2"/>
      <c r="T8" s="2"/>
      <c r="U8" s="2"/>
      <c r="V8" s="2"/>
      <c r="W8" s="2"/>
      <c r="X8" s="2"/>
      <c r="Y8" s="2"/>
      <c r="Z8" s="2"/>
    </row>
    <row r="9" spans="1:26" ht="15.75">
      <c r="A9" s="4"/>
      <c r="B9" s="20"/>
      <c r="C9" s="16"/>
      <c r="D9" s="4"/>
      <c r="E9" s="4"/>
      <c r="F9" s="4"/>
      <c r="G9" s="4"/>
      <c r="H9" s="2"/>
      <c r="I9" s="2"/>
      <c r="J9" s="2"/>
      <c r="K9" s="2"/>
      <c r="L9" s="2"/>
      <c r="M9" s="2"/>
      <c r="N9" s="2"/>
      <c r="O9" s="2"/>
      <c r="P9" s="2"/>
      <c r="Q9" s="2"/>
      <c r="R9" s="2"/>
      <c r="S9" s="2"/>
      <c r="T9" s="2"/>
      <c r="U9" s="2"/>
      <c r="V9" s="2"/>
      <c r="W9" s="2"/>
      <c r="X9" s="2"/>
      <c r="Y9" s="2"/>
      <c r="Z9" s="2"/>
    </row>
    <row r="10" spans="1:26" ht="15.75">
      <c r="A10" s="3" t="s">
        <v>33</v>
      </c>
      <c r="B10" s="4" t="s">
        <v>40</v>
      </c>
      <c r="C10" s="5" t="s">
        <v>41</v>
      </c>
      <c r="D10" s="4"/>
      <c r="E10" s="4"/>
      <c r="F10" s="4"/>
      <c r="G10" s="4"/>
      <c r="H10" s="2"/>
      <c r="I10" s="2"/>
      <c r="J10" s="2"/>
      <c r="K10" s="2"/>
      <c r="L10" s="2"/>
      <c r="M10" s="2"/>
      <c r="N10" s="2"/>
      <c r="O10" s="2"/>
      <c r="P10" s="2"/>
      <c r="Q10" s="2"/>
      <c r="R10" s="2"/>
      <c r="S10" s="2"/>
      <c r="T10" s="2"/>
      <c r="U10" s="2"/>
      <c r="V10" s="2"/>
      <c r="W10" s="2"/>
      <c r="X10" s="2"/>
      <c r="Y10" s="2"/>
      <c r="Z10" s="2"/>
    </row>
    <row r="11" spans="1:26" ht="15.75">
      <c r="A11" s="4"/>
      <c r="B11" s="4" t="s">
        <v>43</v>
      </c>
      <c r="C11" s="12" t="s">
        <v>44</v>
      </c>
      <c r="D11" s="4"/>
      <c r="E11" s="4"/>
      <c r="F11" s="4"/>
      <c r="G11" s="4"/>
      <c r="H11" s="2"/>
      <c r="I11" s="2"/>
      <c r="J11" s="2"/>
      <c r="K11" s="2"/>
      <c r="L11" s="2"/>
      <c r="M11" s="2"/>
      <c r="N11" s="2"/>
      <c r="O11" s="2"/>
      <c r="P11" s="2"/>
      <c r="Q11" s="2"/>
      <c r="R11" s="2"/>
      <c r="S11" s="2"/>
      <c r="T11" s="2"/>
      <c r="U11" s="2"/>
      <c r="V11" s="2"/>
      <c r="W11" s="2"/>
      <c r="X11" s="2"/>
      <c r="Y11" s="2"/>
      <c r="Z11" s="2"/>
    </row>
    <row r="12" spans="1:26" ht="15.75">
      <c r="A12" s="4"/>
      <c r="B12" s="4"/>
      <c r="C12" s="23"/>
      <c r="D12" s="4"/>
      <c r="E12" s="4"/>
      <c r="F12" s="4"/>
      <c r="G12" s="4"/>
      <c r="H12" s="2"/>
      <c r="I12" s="2"/>
      <c r="J12" s="2"/>
      <c r="K12" s="2"/>
      <c r="L12" s="2"/>
      <c r="M12" s="2"/>
      <c r="N12" s="2"/>
      <c r="O12" s="2"/>
      <c r="P12" s="2"/>
      <c r="Q12" s="2"/>
      <c r="R12" s="2"/>
      <c r="S12" s="2"/>
      <c r="T12" s="2"/>
      <c r="U12" s="2"/>
      <c r="V12" s="2"/>
      <c r="W12" s="2"/>
      <c r="X12" s="2"/>
      <c r="Y12" s="2"/>
      <c r="Z12" s="2"/>
    </row>
    <row r="13" spans="1:26" ht="15.75">
      <c r="A13" s="3" t="s">
        <v>37</v>
      </c>
      <c r="B13" s="4"/>
      <c r="C13" s="16"/>
      <c r="D13" s="4"/>
      <c r="E13" s="4"/>
      <c r="F13" s="4"/>
      <c r="G13" s="4"/>
      <c r="H13" s="2"/>
      <c r="I13" s="2"/>
      <c r="J13" s="2"/>
      <c r="K13" s="2"/>
      <c r="L13" s="2"/>
      <c r="M13" s="2"/>
      <c r="N13" s="2"/>
      <c r="O13" s="2"/>
      <c r="P13" s="2"/>
      <c r="Q13" s="2"/>
      <c r="R13" s="2"/>
      <c r="S13" s="2"/>
      <c r="T13" s="2"/>
      <c r="U13" s="2"/>
      <c r="V13" s="2"/>
      <c r="W13" s="2"/>
      <c r="X13" s="2"/>
      <c r="Y13" s="2"/>
      <c r="Z13" s="2"/>
    </row>
    <row r="14" spans="1:26" ht="47.25">
      <c r="A14" s="3"/>
      <c r="B14" s="22" t="s">
        <v>47</v>
      </c>
      <c r="C14" s="91" t="s">
        <v>48</v>
      </c>
      <c r="D14" s="92"/>
      <c r="E14" s="92"/>
      <c r="F14" s="92"/>
      <c r="G14" s="93"/>
      <c r="H14" s="2"/>
      <c r="I14" s="2"/>
      <c r="J14" s="2"/>
      <c r="K14" s="2"/>
      <c r="L14" s="2"/>
      <c r="M14" s="2"/>
      <c r="N14" s="2"/>
      <c r="O14" s="2"/>
      <c r="P14" s="2"/>
      <c r="Q14" s="2"/>
      <c r="R14" s="2"/>
      <c r="S14" s="2"/>
      <c r="T14" s="2"/>
      <c r="U14" s="2"/>
      <c r="V14" s="2"/>
      <c r="W14" s="2"/>
      <c r="X14" s="2"/>
      <c r="Y14" s="2"/>
      <c r="Z14" s="2"/>
    </row>
    <row r="15" spans="1:26" ht="15.75">
      <c r="A15" s="3"/>
      <c r="B15" s="22"/>
      <c r="C15" s="29"/>
      <c r="D15" s="28"/>
      <c r="E15" s="28"/>
      <c r="F15" s="28"/>
      <c r="G15" s="28"/>
      <c r="H15" s="2"/>
      <c r="I15" s="2"/>
      <c r="J15" s="2"/>
      <c r="K15" s="2"/>
      <c r="L15" s="2"/>
      <c r="M15" s="2"/>
      <c r="N15" s="2"/>
      <c r="O15" s="2"/>
      <c r="P15" s="2"/>
      <c r="Q15" s="2"/>
      <c r="R15" s="2"/>
      <c r="S15" s="2"/>
      <c r="T15" s="2"/>
      <c r="U15" s="2"/>
      <c r="V15" s="2"/>
      <c r="W15" s="2"/>
      <c r="X15" s="2"/>
      <c r="Y15" s="2"/>
      <c r="Z15" s="2"/>
    </row>
    <row r="16" spans="1:26" ht="63">
      <c r="A16" s="30"/>
      <c r="B16" s="25" t="str">
        <f>"Are these products going to be used exclusively on this project ("&amp;LEFT(C6,5)&amp;") as property of the sponsor unless sponsor has authorized us to retain them?"</f>
        <v>Are these products going to be used exclusively on this project (W1246) as property of the sponsor unless sponsor has authorized us to retain them?</v>
      </c>
      <c r="C16" s="26"/>
      <c r="D16" s="28"/>
      <c r="E16" s="28"/>
      <c r="F16" s="28"/>
      <c r="G16" s="28"/>
      <c r="H16" s="2"/>
      <c r="I16" s="2"/>
      <c r="J16" s="2"/>
      <c r="K16" s="2"/>
      <c r="L16" s="2"/>
      <c r="M16" s="2"/>
      <c r="N16" s="2"/>
      <c r="O16" s="2"/>
      <c r="P16" s="2"/>
      <c r="Q16" s="2"/>
      <c r="R16" s="2"/>
      <c r="S16" s="2"/>
      <c r="T16" s="2"/>
      <c r="U16" s="2"/>
      <c r="V16" s="2"/>
      <c r="W16" s="2"/>
      <c r="X16" s="2"/>
      <c r="Y16" s="2"/>
      <c r="Z16" s="2"/>
    </row>
    <row r="17" spans="1:26" ht="47.25">
      <c r="A17" s="30"/>
      <c r="B17" s="25" t="s">
        <v>50</v>
      </c>
      <c r="C17" s="26"/>
      <c r="D17" s="28"/>
      <c r="E17" s="28"/>
      <c r="F17" s="28"/>
      <c r="G17" s="28"/>
      <c r="H17" s="2"/>
      <c r="I17" s="2"/>
      <c r="J17" s="2"/>
      <c r="K17" s="2"/>
      <c r="L17" s="2"/>
      <c r="M17" s="2"/>
      <c r="N17" s="2"/>
      <c r="O17" s="2"/>
      <c r="P17" s="2"/>
      <c r="Q17" s="2"/>
      <c r="R17" s="2"/>
      <c r="S17" s="2"/>
      <c r="T17" s="2"/>
      <c r="U17" s="2"/>
      <c r="V17" s="2"/>
      <c r="W17" s="2"/>
      <c r="X17" s="2"/>
      <c r="Y17" s="2"/>
      <c r="Z17" s="2"/>
    </row>
    <row r="18" spans="1:26" ht="36" customHeight="1">
      <c r="A18" s="30"/>
      <c r="B18" s="25" t="s">
        <v>53</v>
      </c>
      <c r="C18" s="33"/>
      <c r="D18" s="4"/>
      <c r="E18" s="4"/>
      <c r="F18" s="4"/>
      <c r="G18" s="4"/>
      <c r="H18" s="2"/>
      <c r="I18" s="2"/>
      <c r="J18" s="2"/>
      <c r="K18" s="2"/>
      <c r="L18" s="2"/>
      <c r="M18" s="2"/>
      <c r="N18" s="2"/>
      <c r="O18" s="2"/>
      <c r="P18" s="2"/>
      <c r="Q18" s="2"/>
      <c r="R18" s="2"/>
      <c r="S18" s="2"/>
      <c r="T18" s="2"/>
      <c r="U18" s="2"/>
      <c r="V18" s="2"/>
      <c r="W18" s="2"/>
      <c r="X18" s="2"/>
      <c r="Y18" s="2"/>
      <c r="Z18" s="2"/>
    </row>
    <row r="19" spans="1:26" ht="31.5">
      <c r="A19" s="30"/>
      <c r="B19" s="25" t="s">
        <v>55</v>
      </c>
      <c r="C19" s="33"/>
      <c r="D19" s="94" t="s">
        <v>56</v>
      </c>
      <c r="E19" s="85"/>
      <c r="F19" s="8"/>
      <c r="G19" s="4"/>
      <c r="H19" s="2"/>
      <c r="I19" s="2"/>
      <c r="J19" s="2"/>
      <c r="K19" s="2"/>
      <c r="L19" s="2"/>
      <c r="M19" s="2"/>
      <c r="N19" s="2"/>
      <c r="O19" s="2"/>
      <c r="P19" s="2"/>
      <c r="Q19" s="2"/>
      <c r="R19" s="2"/>
      <c r="S19" s="2"/>
      <c r="T19" s="2"/>
      <c r="U19" s="2"/>
      <c r="V19" s="2"/>
      <c r="W19" s="2"/>
      <c r="X19" s="2"/>
      <c r="Y19" s="2"/>
      <c r="Z19" s="2"/>
    </row>
    <row r="20" spans="1:26" ht="31.5">
      <c r="A20" s="30"/>
      <c r="B20" s="25" t="s">
        <v>58</v>
      </c>
      <c r="C20" s="33"/>
      <c r="D20" s="31"/>
      <c r="E20" s="31"/>
      <c r="F20" s="31"/>
      <c r="G20" s="4"/>
      <c r="H20" s="2"/>
      <c r="I20" s="2"/>
      <c r="J20" s="2"/>
      <c r="K20" s="2"/>
      <c r="L20" s="2"/>
      <c r="M20" s="2"/>
      <c r="N20" s="2"/>
      <c r="O20" s="2"/>
      <c r="P20" s="2"/>
      <c r="Q20" s="2"/>
      <c r="R20" s="2"/>
      <c r="S20" s="2"/>
      <c r="T20" s="2"/>
      <c r="U20" s="2"/>
      <c r="V20" s="2"/>
      <c r="W20" s="2"/>
      <c r="X20" s="2"/>
      <c r="Y20" s="2"/>
      <c r="Z20" s="2"/>
    </row>
    <row r="21" spans="1:26" ht="15.75" customHeight="1">
      <c r="A21" s="4"/>
      <c r="B21" s="22" t="s">
        <v>59</v>
      </c>
      <c r="C21" s="5" t="s">
        <v>68</v>
      </c>
      <c r="D21" s="4"/>
      <c r="E21" s="4"/>
      <c r="F21" s="4"/>
      <c r="G21" s="4"/>
      <c r="H21" s="2"/>
      <c r="I21" s="2"/>
      <c r="J21" s="2"/>
      <c r="K21" s="2"/>
      <c r="L21" s="2"/>
      <c r="M21" s="2"/>
      <c r="N21" s="2"/>
      <c r="O21" s="2"/>
      <c r="P21" s="2"/>
      <c r="Q21" s="2"/>
      <c r="R21" s="2"/>
      <c r="S21" s="2"/>
      <c r="T21" s="2"/>
      <c r="U21" s="2"/>
      <c r="V21" s="2"/>
      <c r="W21" s="2"/>
      <c r="X21" s="2"/>
      <c r="Y21" s="2"/>
      <c r="Z21" s="2"/>
    </row>
    <row r="22" spans="1:26" ht="15.75" customHeight="1">
      <c r="A22" s="4"/>
      <c r="B22" s="22"/>
      <c r="C22" s="16"/>
      <c r="D22" s="4"/>
      <c r="E22" s="4"/>
      <c r="F22" s="4"/>
      <c r="G22" s="4"/>
      <c r="H22" s="2"/>
      <c r="I22" s="2"/>
      <c r="J22" s="2"/>
      <c r="K22" s="2"/>
      <c r="L22" s="2"/>
      <c r="M22" s="2"/>
      <c r="N22" s="2"/>
      <c r="O22" s="2"/>
      <c r="P22" s="2"/>
      <c r="Q22" s="2"/>
      <c r="R22" s="2"/>
      <c r="S22" s="2"/>
      <c r="T22" s="2"/>
      <c r="U22" s="2"/>
      <c r="V22" s="2"/>
      <c r="W22" s="2"/>
      <c r="X22" s="2"/>
      <c r="Y22" s="2"/>
      <c r="Z22" s="2"/>
    </row>
    <row r="23" spans="1:26" ht="100.5" customHeight="1">
      <c r="A23" s="4"/>
      <c r="B23" s="32" t="s">
        <v>63</v>
      </c>
      <c r="C23" s="91"/>
      <c r="D23" s="92"/>
      <c r="E23" s="92"/>
      <c r="F23" s="92"/>
      <c r="G23" s="93"/>
      <c r="H23" s="2"/>
      <c r="I23" s="2"/>
      <c r="J23" s="2"/>
      <c r="K23" s="2"/>
      <c r="L23" s="2"/>
      <c r="M23" s="2"/>
      <c r="N23" s="2"/>
      <c r="O23" s="2"/>
      <c r="P23" s="2"/>
      <c r="Q23" s="2"/>
      <c r="R23" s="2"/>
      <c r="S23" s="2"/>
      <c r="T23" s="2"/>
      <c r="U23" s="2"/>
      <c r="V23" s="2"/>
      <c r="W23" s="2"/>
      <c r="X23" s="2"/>
      <c r="Y23" s="2"/>
      <c r="Z23" s="2"/>
    </row>
    <row r="24" spans="1:26" ht="15.75" customHeight="1">
      <c r="A24" s="4"/>
      <c r="B24" s="4"/>
      <c r="C24" s="16"/>
      <c r="D24" s="4"/>
      <c r="E24" s="4"/>
      <c r="F24" s="4"/>
      <c r="G24" s="4"/>
      <c r="H24" s="2"/>
      <c r="I24" s="2"/>
      <c r="J24" s="2"/>
      <c r="K24" s="2"/>
      <c r="L24" s="2"/>
      <c r="M24" s="2"/>
      <c r="N24" s="2"/>
      <c r="O24" s="2"/>
      <c r="P24" s="2"/>
      <c r="Q24" s="2"/>
      <c r="R24" s="2"/>
      <c r="S24" s="2"/>
      <c r="T24" s="2"/>
      <c r="U24" s="2"/>
      <c r="V24" s="2"/>
      <c r="W24" s="2"/>
      <c r="X24" s="2"/>
      <c r="Y24" s="2"/>
      <c r="Z24" s="2"/>
    </row>
    <row r="25" spans="1:26" ht="15.75" customHeight="1">
      <c r="A25" s="3" t="s">
        <v>69</v>
      </c>
      <c r="B25" s="4" t="s">
        <v>70</v>
      </c>
      <c r="C25" s="5" t="s">
        <v>75</v>
      </c>
      <c r="D25" s="4"/>
      <c r="E25" s="4"/>
      <c r="F25" s="4"/>
      <c r="G25" s="4"/>
      <c r="H25" s="2"/>
      <c r="I25" s="2"/>
      <c r="J25" s="2"/>
      <c r="K25" s="2"/>
      <c r="L25" s="2"/>
      <c r="M25" s="2"/>
      <c r="N25" s="2"/>
      <c r="O25" s="2"/>
      <c r="P25" s="2"/>
      <c r="Q25" s="2"/>
      <c r="R25" s="2"/>
      <c r="S25" s="2"/>
      <c r="T25" s="2"/>
      <c r="U25" s="2"/>
      <c r="V25" s="2"/>
      <c r="W25" s="2"/>
      <c r="X25" s="2"/>
      <c r="Y25" s="2"/>
      <c r="Z25" s="2"/>
    </row>
    <row r="26" spans="1:26" ht="15.75" customHeight="1">
      <c r="A26" s="4"/>
      <c r="B26" s="4" t="s">
        <v>72</v>
      </c>
      <c r="C26" s="35" t="s">
        <v>76</v>
      </c>
      <c r="D26" s="4"/>
      <c r="E26" s="4"/>
      <c r="F26" s="4"/>
      <c r="G26" s="4"/>
      <c r="H26" s="2"/>
      <c r="I26" s="2"/>
      <c r="J26" s="2"/>
      <c r="K26" s="2"/>
      <c r="L26" s="2"/>
      <c r="M26" s="2"/>
      <c r="N26" s="2"/>
      <c r="O26" s="2"/>
      <c r="P26" s="2"/>
      <c r="Q26" s="2"/>
      <c r="R26" s="2"/>
      <c r="S26" s="2"/>
      <c r="T26" s="2"/>
      <c r="U26" s="2"/>
      <c r="V26" s="2"/>
      <c r="W26" s="2"/>
      <c r="X26" s="2"/>
      <c r="Y26" s="2"/>
      <c r="Z26" s="2"/>
    </row>
    <row r="27" spans="1:26" ht="15.75" customHeight="1">
      <c r="A27" s="4"/>
      <c r="B27" s="22" t="s">
        <v>74</v>
      </c>
      <c r="C27" s="36"/>
      <c r="D27" s="4"/>
      <c r="E27" s="4"/>
      <c r="F27" s="4"/>
      <c r="G27" s="4"/>
      <c r="H27" s="2"/>
      <c r="I27" s="2"/>
      <c r="J27" s="2"/>
      <c r="K27" s="2"/>
      <c r="L27" s="2"/>
      <c r="M27" s="2"/>
      <c r="N27" s="2"/>
      <c r="O27" s="2"/>
      <c r="P27" s="2"/>
      <c r="Q27" s="2"/>
      <c r="R27" s="2"/>
      <c r="S27" s="2"/>
      <c r="T27" s="2"/>
      <c r="U27" s="2"/>
      <c r="V27" s="2"/>
      <c r="W27" s="2"/>
      <c r="X27" s="2"/>
      <c r="Y27" s="2"/>
      <c r="Z27" s="2"/>
    </row>
    <row r="28" spans="1:26" ht="15.75" customHeight="1">
      <c r="A28" s="4"/>
      <c r="B28" s="22" t="s">
        <v>80</v>
      </c>
      <c r="C28" s="21" t="s">
        <v>81</v>
      </c>
      <c r="D28" s="4"/>
      <c r="E28" s="4"/>
      <c r="F28" s="4"/>
      <c r="G28" s="4"/>
      <c r="H28" s="2"/>
      <c r="I28" s="2"/>
      <c r="J28" s="2"/>
      <c r="K28" s="2"/>
      <c r="L28" s="2"/>
      <c r="M28" s="2"/>
      <c r="N28" s="2"/>
      <c r="O28" s="2"/>
      <c r="P28" s="2"/>
      <c r="Q28" s="2"/>
      <c r="R28" s="2"/>
      <c r="S28" s="2"/>
      <c r="T28" s="2"/>
      <c r="U28" s="2"/>
      <c r="V28" s="2"/>
      <c r="W28" s="2"/>
      <c r="X28" s="2"/>
      <c r="Y28" s="2"/>
      <c r="Z28" s="2"/>
    </row>
    <row r="29" spans="1:26" ht="15.75" customHeight="1">
      <c r="A29" s="4"/>
      <c r="B29" s="22" t="s">
        <v>79</v>
      </c>
      <c r="C29" s="37"/>
      <c r="D29" s="4"/>
      <c r="E29" s="4"/>
      <c r="F29" s="4"/>
      <c r="G29" s="4"/>
      <c r="H29" s="2"/>
      <c r="I29" s="2"/>
      <c r="J29" s="2"/>
      <c r="K29" s="2"/>
      <c r="L29" s="2"/>
      <c r="M29" s="2"/>
      <c r="N29" s="2"/>
      <c r="O29" s="2"/>
      <c r="P29" s="2"/>
      <c r="Q29" s="2"/>
      <c r="R29" s="2"/>
      <c r="S29" s="2"/>
      <c r="T29" s="2"/>
      <c r="U29" s="2"/>
      <c r="V29" s="2"/>
      <c r="W29" s="2"/>
      <c r="X29" s="2"/>
      <c r="Y29" s="2"/>
      <c r="Z29" s="2"/>
    </row>
    <row r="30" spans="1:26" ht="15.75" customHeight="1">
      <c r="A30" s="4"/>
      <c r="B30" s="4"/>
      <c r="C30" s="4"/>
      <c r="D30" s="4"/>
      <c r="E30" s="4"/>
      <c r="F30" s="4"/>
      <c r="G30" s="4"/>
      <c r="H30" s="2"/>
      <c r="I30" s="2"/>
      <c r="J30" s="2"/>
      <c r="K30" s="2"/>
      <c r="L30" s="2"/>
      <c r="M30" s="2"/>
      <c r="N30" s="2"/>
      <c r="O30" s="2"/>
      <c r="P30" s="2"/>
      <c r="Q30" s="2"/>
      <c r="R30" s="2"/>
      <c r="S30" s="2"/>
      <c r="T30" s="2"/>
      <c r="U30" s="2"/>
      <c r="V30" s="2"/>
      <c r="W30" s="2"/>
      <c r="X30" s="2"/>
      <c r="Y30" s="2"/>
      <c r="Z30" s="2"/>
    </row>
    <row r="31" spans="1:26" ht="15.75" customHeight="1">
      <c r="A31" s="38" t="s">
        <v>84</v>
      </c>
      <c r="B31" s="38" t="s">
        <v>85</v>
      </c>
      <c r="C31" s="38" t="s">
        <v>86</v>
      </c>
      <c r="D31" s="38" t="s">
        <v>87</v>
      </c>
      <c r="E31" s="38" t="s">
        <v>88</v>
      </c>
      <c r="F31" s="38" t="s">
        <v>89</v>
      </c>
      <c r="G31" s="39" t="s">
        <v>91</v>
      </c>
      <c r="H31" s="2"/>
      <c r="I31" s="2"/>
      <c r="J31" s="2"/>
      <c r="K31" s="2"/>
      <c r="L31" s="2"/>
      <c r="M31" s="2"/>
      <c r="N31" s="2"/>
      <c r="O31" s="2"/>
      <c r="P31" s="2"/>
      <c r="Q31" s="2"/>
      <c r="R31" s="2"/>
      <c r="S31" s="2"/>
      <c r="T31" s="2"/>
      <c r="U31" s="2"/>
      <c r="V31" s="2"/>
      <c r="W31" s="2"/>
      <c r="X31" s="2"/>
      <c r="Y31" s="2"/>
      <c r="Z31" s="2"/>
    </row>
    <row r="32" spans="1:26" ht="40.5" customHeight="1">
      <c r="A32" s="40">
        <v>1</v>
      </c>
      <c r="B32" s="41" t="s">
        <v>96</v>
      </c>
      <c r="C32" s="43" t="s">
        <v>98</v>
      </c>
      <c r="D32" s="44">
        <v>10</v>
      </c>
      <c r="E32" s="45">
        <v>0.26</v>
      </c>
      <c r="F32" s="47" t="s">
        <v>101</v>
      </c>
      <c r="G32" s="24" t="s">
        <v>103</v>
      </c>
      <c r="H32" s="2"/>
      <c r="I32" s="2"/>
      <c r="J32" s="2"/>
      <c r="K32" s="2"/>
      <c r="L32" s="2"/>
      <c r="M32" s="2"/>
      <c r="N32" s="2"/>
      <c r="O32" s="2"/>
      <c r="P32" s="2"/>
      <c r="Q32" s="2"/>
      <c r="R32" s="2"/>
      <c r="S32" s="2"/>
      <c r="T32" s="2"/>
      <c r="U32" s="2"/>
      <c r="V32" s="2"/>
      <c r="W32" s="2"/>
      <c r="X32" s="2"/>
      <c r="Y32" s="2"/>
      <c r="Z32" s="2"/>
    </row>
    <row r="33" spans="1:26" ht="40.5" customHeight="1">
      <c r="A33" s="49">
        <v>2</v>
      </c>
      <c r="B33" s="51" t="s">
        <v>104</v>
      </c>
      <c r="C33" s="41" t="s">
        <v>105</v>
      </c>
      <c r="D33" s="44">
        <v>5</v>
      </c>
      <c r="E33" s="45">
        <v>2.92</v>
      </c>
      <c r="F33" s="47" t="s">
        <v>101</v>
      </c>
      <c r="G33" s="24" t="s">
        <v>106</v>
      </c>
      <c r="H33" s="2"/>
      <c r="I33" s="2"/>
      <c r="J33" s="2"/>
      <c r="K33" s="2"/>
      <c r="L33" s="2"/>
      <c r="M33" s="2"/>
      <c r="N33" s="2"/>
      <c r="O33" s="2"/>
      <c r="P33" s="2"/>
      <c r="Q33" s="2"/>
      <c r="R33" s="2"/>
      <c r="S33" s="2"/>
      <c r="T33" s="2"/>
      <c r="U33" s="2"/>
      <c r="V33" s="2"/>
      <c r="W33" s="2"/>
      <c r="X33" s="2"/>
      <c r="Y33" s="2"/>
      <c r="Z33" s="2"/>
    </row>
    <row r="34" spans="1:26" ht="40.5" customHeight="1">
      <c r="A34" s="49">
        <v>3</v>
      </c>
      <c r="B34" s="41" t="s">
        <v>107</v>
      </c>
      <c r="C34" s="55" t="s">
        <v>108</v>
      </c>
      <c r="D34" s="44">
        <v>6</v>
      </c>
      <c r="E34" s="45">
        <v>1.54</v>
      </c>
      <c r="F34" s="47" t="s">
        <v>101</v>
      </c>
      <c r="G34" s="24" t="s">
        <v>109</v>
      </c>
      <c r="H34" s="2"/>
      <c r="I34" s="2"/>
      <c r="J34" s="2"/>
      <c r="K34" s="2"/>
      <c r="L34" s="2"/>
      <c r="M34" s="2"/>
      <c r="N34" s="2"/>
      <c r="O34" s="2"/>
      <c r="P34" s="2"/>
      <c r="Q34" s="2"/>
      <c r="R34" s="2"/>
      <c r="S34" s="2"/>
      <c r="T34" s="2"/>
      <c r="U34" s="2"/>
      <c r="V34" s="2"/>
      <c r="W34" s="2"/>
      <c r="X34" s="2"/>
      <c r="Y34" s="2"/>
      <c r="Z34" s="2"/>
    </row>
    <row r="35" spans="1:26" ht="40.5" customHeight="1">
      <c r="A35" s="49">
        <v>4</v>
      </c>
      <c r="B35" s="41" t="s">
        <v>110</v>
      </c>
      <c r="C35" s="41" t="s">
        <v>111</v>
      </c>
      <c r="D35" s="44">
        <v>4</v>
      </c>
      <c r="E35" s="45">
        <v>1.17</v>
      </c>
      <c r="F35" s="47"/>
      <c r="G35" s="57" t="s">
        <v>112</v>
      </c>
      <c r="H35" s="2"/>
      <c r="I35" s="2"/>
      <c r="J35" s="2"/>
      <c r="K35" s="2"/>
      <c r="L35" s="2"/>
      <c r="M35" s="2"/>
      <c r="N35" s="2"/>
      <c r="O35" s="2"/>
      <c r="P35" s="2"/>
      <c r="Q35" s="2"/>
      <c r="R35" s="2"/>
      <c r="S35" s="2"/>
      <c r="T35" s="2"/>
      <c r="U35" s="2"/>
      <c r="V35" s="2"/>
      <c r="W35" s="2"/>
      <c r="X35" s="2"/>
      <c r="Y35" s="2"/>
      <c r="Z35" s="2"/>
    </row>
    <row r="36" spans="1:26" ht="40.5" customHeight="1">
      <c r="A36" s="49">
        <v>5</v>
      </c>
      <c r="B36" s="41" t="s">
        <v>113</v>
      </c>
      <c r="C36" s="41" t="s">
        <v>114</v>
      </c>
      <c r="D36" s="44">
        <v>6</v>
      </c>
      <c r="E36" s="45">
        <v>1.34</v>
      </c>
      <c r="F36" s="47"/>
      <c r="G36" s="57" t="s">
        <v>115</v>
      </c>
      <c r="H36" s="2"/>
      <c r="I36" s="2"/>
      <c r="J36" s="2"/>
      <c r="K36" s="2"/>
      <c r="L36" s="2"/>
      <c r="M36" s="2"/>
      <c r="N36" s="2"/>
      <c r="O36" s="2"/>
      <c r="P36" s="2"/>
      <c r="Q36" s="2"/>
      <c r="R36" s="2"/>
      <c r="S36" s="2"/>
      <c r="T36" s="2"/>
      <c r="U36" s="2"/>
      <c r="V36" s="2"/>
      <c r="W36" s="2"/>
      <c r="X36" s="2"/>
      <c r="Y36" s="2"/>
      <c r="Z36" s="2"/>
    </row>
    <row r="37" spans="1:26" ht="40.5" customHeight="1">
      <c r="A37" s="49">
        <v>6</v>
      </c>
      <c r="B37" s="41" t="s">
        <v>117</v>
      </c>
      <c r="C37" s="41" t="s">
        <v>118</v>
      </c>
      <c r="D37" s="44">
        <v>10</v>
      </c>
      <c r="E37" s="45">
        <v>1.42</v>
      </c>
      <c r="F37" s="47"/>
      <c r="G37" s="57" t="s">
        <v>119</v>
      </c>
      <c r="H37" s="2"/>
      <c r="I37" s="2"/>
      <c r="J37" s="2"/>
      <c r="K37" s="2"/>
      <c r="L37" s="2"/>
      <c r="M37" s="2"/>
      <c r="N37" s="2"/>
      <c r="O37" s="2"/>
      <c r="P37" s="2"/>
      <c r="Q37" s="2"/>
      <c r="R37" s="2"/>
      <c r="S37" s="2"/>
      <c r="T37" s="2"/>
      <c r="U37" s="2"/>
      <c r="V37" s="2"/>
      <c r="W37" s="2"/>
      <c r="X37" s="2"/>
      <c r="Y37" s="2"/>
      <c r="Z37" s="2"/>
    </row>
    <row r="38" spans="1:26" ht="40.5" customHeight="1">
      <c r="A38" s="49">
        <v>7</v>
      </c>
      <c r="B38" s="41" t="s">
        <v>123</v>
      </c>
      <c r="C38" s="41" t="s">
        <v>124</v>
      </c>
      <c r="D38" s="44">
        <v>10</v>
      </c>
      <c r="E38" s="45">
        <v>0.45</v>
      </c>
      <c r="F38" s="47"/>
      <c r="G38" s="57" t="s">
        <v>126</v>
      </c>
      <c r="H38" s="2"/>
      <c r="I38" s="2"/>
      <c r="J38" s="2"/>
      <c r="K38" s="2"/>
      <c r="L38" s="2"/>
      <c r="M38" s="2"/>
      <c r="N38" s="2"/>
      <c r="O38" s="2"/>
      <c r="P38" s="2"/>
      <c r="Q38" s="2"/>
      <c r="R38" s="2"/>
      <c r="S38" s="2"/>
      <c r="T38" s="2"/>
      <c r="U38" s="2"/>
      <c r="V38" s="2"/>
      <c r="W38" s="2"/>
      <c r="X38" s="2"/>
      <c r="Y38" s="2"/>
      <c r="Z38" s="2"/>
    </row>
    <row r="39" spans="1:26" ht="40.5" customHeight="1">
      <c r="A39" s="49">
        <v>8</v>
      </c>
      <c r="B39" s="41" t="s">
        <v>128</v>
      </c>
      <c r="C39" s="41" t="s">
        <v>129</v>
      </c>
      <c r="D39" s="44">
        <v>10</v>
      </c>
      <c r="E39" s="45">
        <v>0.53</v>
      </c>
      <c r="F39" s="47"/>
      <c r="G39" s="57" t="s">
        <v>130</v>
      </c>
      <c r="H39" s="2"/>
      <c r="I39" s="2"/>
      <c r="J39" s="2"/>
      <c r="K39" s="2"/>
      <c r="L39" s="2"/>
      <c r="M39" s="2"/>
      <c r="N39" s="2"/>
      <c r="O39" s="2"/>
      <c r="P39" s="2"/>
      <c r="Q39" s="2"/>
      <c r="R39" s="2"/>
      <c r="S39" s="2"/>
      <c r="T39" s="2"/>
      <c r="U39" s="2"/>
      <c r="V39" s="2"/>
      <c r="W39" s="2"/>
      <c r="X39" s="2"/>
      <c r="Y39" s="2"/>
      <c r="Z39" s="2"/>
    </row>
    <row r="40" spans="1:26" ht="40.5" customHeight="1">
      <c r="A40" s="49">
        <v>9</v>
      </c>
      <c r="B40" s="58" t="s">
        <v>131</v>
      </c>
      <c r="C40" s="41" t="s">
        <v>132</v>
      </c>
      <c r="D40" s="44">
        <v>4</v>
      </c>
      <c r="E40" s="45">
        <v>5.01</v>
      </c>
      <c r="F40" s="47"/>
      <c r="G40" s="57" t="s">
        <v>133</v>
      </c>
      <c r="H40" s="2"/>
      <c r="I40" s="2"/>
      <c r="J40" s="2"/>
      <c r="K40" s="2"/>
      <c r="L40" s="2"/>
      <c r="M40" s="2"/>
      <c r="N40" s="2"/>
      <c r="O40" s="2"/>
      <c r="P40" s="2"/>
      <c r="Q40" s="2"/>
      <c r="R40" s="2"/>
      <c r="S40" s="2"/>
      <c r="T40" s="2"/>
      <c r="U40" s="2"/>
      <c r="V40" s="2"/>
      <c r="W40" s="2"/>
      <c r="X40" s="2"/>
      <c r="Y40" s="2"/>
      <c r="Z40" s="2"/>
    </row>
    <row r="41" spans="1:26" ht="40.5" customHeight="1">
      <c r="A41" s="49">
        <v>10</v>
      </c>
      <c r="B41" s="41" t="s">
        <v>134</v>
      </c>
      <c r="C41" s="41" t="s">
        <v>135</v>
      </c>
      <c r="D41" s="44">
        <v>6</v>
      </c>
      <c r="E41" s="45">
        <v>3.89</v>
      </c>
      <c r="F41" s="47"/>
      <c r="G41" s="96" t="s">
        <v>227</v>
      </c>
      <c r="H41" s="2"/>
      <c r="I41" s="2"/>
      <c r="J41" s="2"/>
      <c r="K41" s="2"/>
      <c r="L41" s="2"/>
      <c r="M41" s="2"/>
      <c r="N41" s="2"/>
      <c r="O41" s="2"/>
      <c r="P41" s="2"/>
      <c r="Q41" s="2"/>
      <c r="R41" s="2"/>
      <c r="S41" s="2"/>
      <c r="T41" s="2"/>
      <c r="U41" s="2"/>
      <c r="V41" s="2"/>
      <c r="W41" s="2"/>
      <c r="X41" s="2"/>
      <c r="Y41" s="2"/>
      <c r="Z41" s="2"/>
    </row>
    <row r="42" spans="1:26" ht="40.5" customHeight="1">
      <c r="A42" s="49">
        <v>11</v>
      </c>
      <c r="B42" s="41" t="s">
        <v>136</v>
      </c>
      <c r="C42" s="41" t="s">
        <v>137</v>
      </c>
      <c r="D42" s="44">
        <v>3</v>
      </c>
      <c r="E42" s="45">
        <v>20.76</v>
      </c>
      <c r="F42" s="47"/>
      <c r="G42" s="59" t="s">
        <v>138</v>
      </c>
      <c r="H42" s="2"/>
      <c r="I42" s="2"/>
      <c r="J42" s="2"/>
      <c r="K42" s="2"/>
      <c r="L42" s="2"/>
      <c r="M42" s="2"/>
      <c r="N42" s="2"/>
      <c r="O42" s="2"/>
      <c r="P42" s="2"/>
      <c r="Q42" s="2"/>
      <c r="R42" s="2"/>
      <c r="S42" s="2"/>
      <c r="T42" s="2"/>
      <c r="U42" s="2"/>
      <c r="V42" s="2"/>
      <c r="W42" s="2"/>
      <c r="X42" s="2"/>
      <c r="Y42" s="2"/>
      <c r="Z42" s="2"/>
    </row>
    <row r="43" spans="1:26" ht="40.5" customHeight="1">
      <c r="A43" s="49">
        <v>12</v>
      </c>
      <c r="B43" s="41" t="s">
        <v>139</v>
      </c>
      <c r="C43" s="41" t="s">
        <v>140</v>
      </c>
      <c r="D43" s="44">
        <v>3</v>
      </c>
      <c r="E43" s="45">
        <v>4.04</v>
      </c>
      <c r="F43" s="47"/>
      <c r="G43" s="57" t="s">
        <v>141</v>
      </c>
      <c r="H43" s="2"/>
      <c r="I43" s="2"/>
      <c r="J43" s="2"/>
      <c r="K43" s="2"/>
      <c r="L43" s="2"/>
      <c r="M43" s="2"/>
      <c r="N43" s="2"/>
      <c r="O43" s="2"/>
      <c r="P43" s="2"/>
      <c r="Q43" s="2"/>
      <c r="R43" s="2"/>
      <c r="S43" s="2"/>
      <c r="T43" s="2"/>
      <c r="U43" s="2"/>
      <c r="V43" s="2"/>
      <c r="W43" s="2"/>
      <c r="X43" s="2"/>
      <c r="Y43" s="2"/>
      <c r="Z43" s="2"/>
    </row>
    <row r="44" spans="1:26" ht="40.5" customHeight="1">
      <c r="A44" s="49">
        <v>13</v>
      </c>
      <c r="B44" s="58" t="s">
        <v>142</v>
      </c>
      <c r="C44" s="41" t="s">
        <v>143</v>
      </c>
      <c r="D44" s="44">
        <v>3</v>
      </c>
      <c r="E44" s="45">
        <v>6.91</v>
      </c>
      <c r="F44" s="47"/>
      <c r="G44" s="57" t="s">
        <v>144</v>
      </c>
      <c r="H44" s="2"/>
      <c r="I44" s="2"/>
      <c r="J44" s="2"/>
      <c r="K44" s="2"/>
      <c r="L44" s="2"/>
      <c r="M44" s="2"/>
      <c r="N44" s="2"/>
      <c r="O44" s="2"/>
      <c r="P44" s="2"/>
      <c r="Q44" s="2"/>
      <c r="R44" s="2"/>
      <c r="S44" s="2"/>
      <c r="T44" s="2"/>
      <c r="U44" s="2"/>
      <c r="V44" s="2"/>
      <c r="W44" s="2"/>
      <c r="X44" s="2"/>
      <c r="Y44" s="2"/>
      <c r="Z44" s="2"/>
    </row>
    <row r="45" spans="1:26" ht="40.5" customHeight="1">
      <c r="A45" s="49">
        <v>14</v>
      </c>
      <c r="B45" s="41"/>
      <c r="C45" s="41"/>
      <c r="D45" s="44"/>
      <c r="E45" s="45"/>
      <c r="F45" s="47"/>
      <c r="G45" s="24"/>
      <c r="H45" s="2"/>
      <c r="I45" s="2"/>
      <c r="J45" s="2"/>
      <c r="K45" s="2"/>
      <c r="L45" s="2"/>
      <c r="M45" s="2"/>
      <c r="N45" s="2"/>
      <c r="O45" s="2"/>
      <c r="P45" s="2"/>
      <c r="Q45" s="2"/>
      <c r="R45" s="2"/>
      <c r="S45" s="2"/>
      <c r="T45" s="2"/>
      <c r="U45" s="2"/>
      <c r="V45" s="2"/>
      <c r="W45" s="2"/>
      <c r="X45" s="2"/>
      <c r="Y45" s="2"/>
      <c r="Z45" s="2"/>
    </row>
    <row r="46" spans="1:26" ht="40.5" customHeight="1">
      <c r="A46" s="49">
        <v>15</v>
      </c>
      <c r="B46" s="50"/>
      <c r="C46" s="50"/>
      <c r="D46" s="44"/>
      <c r="E46" s="45"/>
      <c r="F46" s="47"/>
      <c r="G46" s="52"/>
      <c r="H46" s="2"/>
      <c r="I46" s="2"/>
      <c r="J46" s="2"/>
      <c r="K46" s="2"/>
      <c r="L46" s="2"/>
      <c r="M46" s="2"/>
      <c r="N46" s="2"/>
      <c r="O46" s="2"/>
      <c r="P46" s="2"/>
      <c r="Q46" s="2"/>
      <c r="R46" s="2"/>
      <c r="S46" s="2"/>
      <c r="T46" s="2"/>
      <c r="U46" s="2"/>
      <c r="V46" s="2"/>
      <c r="W46" s="2"/>
      <c r="X46" s="2"/>
      <c r="Y46" s="2"/>
      <c r="Z46" s="2"/>
    </row>
    <row r="47" spans="1:26" ht="40.5" customHeight="1">
      <c r="A47" s="49">
        <v>16</v>
      </c>
      <c r="B47" s="50"/>
      <c r="C47" s="50"/>
      <c r="D47" s="44"/>
      <c r="E47" s="45"/>
      <c r="F47" s="47"/>
      <c r="G47" s="52"/>
      <c r="H47" s="2"/>
      <c r="I47" s="2"/>
      <c r="J47" s="2"/>
      <c r="K47" s="2"/>
      <c r="L47" s="2"/>
      <c r="M47" s="2"/>
      <c r="N47" s="2"/>
      <c r="O47" s="2"/>
      <c r="P47" s="2"/>
      <c r="Q47" s="2"/>
      <c r="R47" s="2"/>
      <c r="S47" s="2"/>
      <c r="T47" s="2"/>
      <c r="U47" s="2"/>
      <c r="V47" s="2"/>
      <c r="W47" s="2"/>
      <c r="X47" s="2"/>
      <c r="Y47" s="2"/>
      <c r="Z47" s="2"/>
    </row>
    <row r="48" spans="1:26" ht="40.5" customHeight="1">
      <c r="A48" s="49">
        <v>17</v>
      </c>
      <c r="B48" s="50"/>
      <c r="C48" s="50"/>
      <c r="D48" s="44"/>
      <c r="E48" s="45"/>
      <c r="F48" s="47"/>
      <c r="G48" s="52"/>
      <c r="H48" s="2"/>
      <c r="I48" s="2"/>
      <c r="J48" s="2"/>
      <c r="K48" s="2"/>
      <c r="L48" s="2"/>
      <c r="M48" s="2"/>
      <c r="N48" s="2"/>
      <c r="O48" s="2"/>
      <c r="P48" s="2"/>
      <c r="Q48" s="2"/>
      <c r="R48" s="2"/>
      <c r="S48" s="2"/>
      <c r="T48" s="2"/>
      <c r="U48" s="2"/>
      <c r="V48" s="2"/>
      <c r="W48" s="2"/>
      <c r="X48" s="2"/>
      <c r="Y48" s="2"/>
      <c r="Z48" s="2"/>
    </row>
    <row r="49" spans="1:26" ht="40.5" customHeight="1">
      <c r="A49" s="49">
        <v>18</v>
      </c>
      <c r="B49" s="50"/>
      <c r="C49" s="50"/>
      <c r="D49" s="44"/>
      <c r="E49" s="45"/>
      <c r="F49" s="47"/>
      <c r="G49" s="52"/>
      <c r="H49" s="2"/>
      <c r="I49" s="2"/>
      <c r="J49" s="2"/>
      <c r="K49" s="2"/>
      <c r="L49" s="2"/>
      <c r="M49" s="2"/>
      <c r="N49" s="2"/>
      <c r="O49" s="2"/>
      <c r="P49" s="2"/>
      <c r="Q49" s="2"/>
      <c r="R49" s="2"/>
      <c r="S49" s="2"/>
      <c r="T49" s="2"/>
      <c r="U49" s="2"/>
      <c r="V49" s="2"/>
      <c r="W49" s="2"/>
      <c r="X49" s="2"/>
      <c r="Y49" s="2"/>
      <c r="Z49" s="2"/>
    </row>
    <row r="50" spans="1:26" ht="40.5" customHeight="1">
      <c r="A50" s="49">
        <v>19</v>
      </c>
      <c r="B50" s="50"/>
      <c r="C50" s="50"/>
      <c r="D50" s="44"/>
      <c r="E50" s="45"/>
      <c r="F50" s="47"/>
      <c r="G50" s="52"/>
      <c r="H50" s="2"/>
      <c r="I50" s="2"/>
      <c r="J50" s="2"/>
      <c r="K50" s="2"/>
      <c r="L50" s="2"/>
      <c r="M50" s="2"/>
      <c r="N50" s="2"/>
      <c r="O50" s="2"/>
      <c r="P50" s="2"/>
      <c r="Q50" s="2"/>
      <c r="R50" s="2"/>
      <c r="S50" s="2"/>
      <c r="T50" s="2"/>
      <c r="U50" s="2"/>
      <c r="V50" s="2"/>
      <c r="W50" s="2"/>
      <c r="X50" s="2"/>
      <c r="Y50" s="2"/>
      <c r="Z50" s="2"/>
    </row>
    <row r="51" spans="1:26" ht="40.5" customHeight="1">
      <c r="A51" s="49">
        <v>20</v>
      </c>
      <c r="B51" s="50"/>
      <c r="C51" s="50"/>
      <c r="D51" s="44"/>
      <c r="E51" s="45"/>
      <c r="F51" s="47"/>
      <c r="G51" s="52"/>
      <c r="H51" s="2"/>
      <c r="I51" s="2"/>
      <c r="J51" s="2"/>
      <c r="K51" s="2"/>
      <c r="L51" s="2"/>
      <c r="M51" s="2"/>
      <c r="N51" s="2"/>
      <c r="O51" s="2"/>
      <c r="P51" s="2"/>
      <c r="Q51" s="2"/>
      <c r="R51" s="2"/>
      <c r="S51" s="2"/>
      <c r="T51" s="2"/>
      <c r="U51" s="2"/>
      <c r="V51" s="2"/>
      <c r="W51" s="2"/>
      <c r="X51" s="2"/>
      <c r="Y51" s="2"/>
      <c r="Z51" s="2"/>
    </row>
    <row r="52" spans="1:26" ht="40.5" customHeight="1">
      <c r="A52" s="49">
        <v>21</v>
      </c>
      <c r="B52" s="50"/>
      <c r="C52" s="50"/>
      <c r="D52" s="44"/>
      <c r="E52" s="45"/>
      <c r="F52" s="47"/>
      <c r="G52" s="52"/>
      <c r="H52" s="2"/>
      <c r="I52" s="2"/>
      <c r="J52" s="2"/>
      <c r="K52" s="2"/>
      <c r="L52" s="2"/>
      <c r="M52" s="2"/>
      <c r="N52" s="2"/>
      <c r="O52" s="2"/>
      <c r="P52" s="2"/>
      <c r="Q52" s="2"/>
      <c r="R52" s="2"/>
      <c r="S52" s="2"/>
      <c r="T52" s="2"/>
      <c r="U52" s="2"/>
      <c r="V52" s="2"/>
      <c r="W52" s="2"/>
      <c r="X52" s="2"/>
      <c r="Y52" s="2"/>
      <c r="Z52" s="2"/>
    </row>
    <row r="53" spans="1:26" ht="40.5" customHeight="1">
      <c r="A53" s="49">
        <v>22</v>
      </c>
      <c r="B53" s="50"/>
      <c r="C53" s="50"/>
      <c r="D53" s="44"/>
      <c r="E53" s="45"/>
      <c r="F53" s="47"/>
      <c r="G53" s="52"/>
      <c r="H53" s="2"/>
      <c r="I53" s="2"/>
      <c r="J53" s="2"/>
      <c r="K53" s="2"/>
      <c r="L53" s="2"/>
      <c r="M53" s="2"/>
      <c r="N53" s="2"/>
      <c r="O53" s="2"/>
      <c r="P53" s="2"/>
      <c r="Q53" s="2"/>
      <c r="R53" s="2"/>
      <c r="S53" s="2"/>
      <c r="T53" s="2"/>
      <c r="U53" s="2"/>
      <c r="V53" s="2"/>
      <c r="W53" s="2"/>
      <c r="X53" s="2"/>
      <c r="Y53" s="2"/>
      <c r="Z53" s="2"/>
    </row>
    <row r="54" spans="1:26" ht="40.5" customHeight="1">
      <c r="A54" s="49">
        <v>23</v>
      </c>
      <c r="B54" s="50"/>
      <c r="C54" s="50"/>
      <c r="D54" s="44"/>
      <c r="E54" s="45"/>
      <c r="F54" s="47"/>
      <c r="G54" s="52"/>
      <c r="H54" s="2"/>
      <c r="I54" s="2"/>
      <c r="J54" s="2"/>
      <c r="K54" s="2"/>
      <c r="L54" s="2"/>
      <c r="M54" s="2"/>
      <c r="N54" s="2"/>
      <c r="O54" s="2"/>
      <c r="P54" s="2"/>
      <c r="Q54" s="2"/>
      <c r="R54" s="2"/>
      <c r="S54" s="2"/>
      <c r="T54" s="2"/>
      <c r="U54" s="2"/>
      <c r="V54" s="2"/>
      <c r="W54" s="2"/>
      <c r="X54" s="2"/>
      <c r="Y54" s="2"/>
      <c r="Z54" s="2"/>
    </row>
    <row r="55" spans="1:26" ht="40.5" customHeight="1">
      <c r="A55" s="49">
        <v>24</v>
      </c>
      <c r="B55" s="50"/>
      <c r="C55" s="50"/>
      <c r="D55" s="44"/>
      <c r="E55" s="45"/>
      <c r="F55" s="47"/>
      <c r="G55" s="52"/>
      <c r="H55" s="2"/>
      <c r="I55" s="2"/>
      <c r="J55" s="2"/>
      <c r="K55" s="2"/>
      <c r="L55" s="2"/>
      <c r="M55" s="2"/>
      <c r="N55" s="2"/>
      <c r="O55" s="2"/>
      <c r="P55" s="2"/>
      <c r="Q55" s="2"/>
      <c r="R55" s="2"/>
      <c r="S55" s="2"/>
      <c r="T55" s="2"/>
      <c r="U55" s="2"/>
      <c r="V55" s="2"/>
      <c r="W55" s="2"/>
      <c r="X55" s="2"/>
      <c r="Y55" s="2"/>
      <c r="Z55" s="2"/>
    </row>
    <row r="56" spans="1:26" ht="40.5" customHeight="1">
      <c r="A56" s="49">
        <v>25</v>
      </c>
      <c r="B56" s="50"/>
      <c r="C56" s="50"/>
      <c r="D56" s="44"/>
      <c r="E56" s="45"/>
      <c r="F56" s="47"/>
      <c r="G56" s="52"/>
      <c r="H56" s="2"/>
      <c r="I56" s="2"/>
      <c r="J56" s="2"/>
      <c r="K56" s="2"/>
      <c r="L56" s="2"/>
      <c r="M56" s="2"/>
      <c r="N56" s="2"/>
      <c r="O56" s="2"/>
      <c r="P56" s="2"/>
      <c r="Q56" s="2"/>
      <c r="R56" s="2"/>
      <c r="S56" s="2"/>
      <c r="T56" s="2"/>
      <c r="U56" s="2"/>
      <c r="V56" s="2"/>
      <c r="W56" s="2"/>
      <c r="X56" s="2"/>
      <c r="Y56" s="2"/>
      <c r="Z56" s="2"/>
    </row>
    <row r="57" spans="1:26" ht="15.75" customHeight="1">
      <c r="A57" s="4"/>
      <c r="B57" s="4"/>
      <c r="C57" s="4"/>
      <c r="D57" s="4"/>
      <c r="E57" s="4"/>
      <c r="F57" s="4"/>
      <c r="G57" s="4"/>
      <c r="H57" s="2"/>
      <c r="I57" s="2"/>
      <c r="J57" s="2"/>
      <c r="K57" s="2"/>
      <c r="L57" s="2"/>
      <c r="M57" s="2"/>
      <c r="N57" s="2"/>
      <c r="O57" s="2"/>
      <c r="P57" s="2"/>
      <c r="Q57" s="2"/>
      <c r="R57" s="2"/>
      <c r="S57" s="2"/>
      <c r="T57" s="2"/>
      <c r="U57" s="2"/>
      <c r="V57" s="2"/>
      <c r="W57" s="2"/>
      <c r="X57" s="2"/>
      <c r="Y57" s="2"/>
      <c r="Z57" s="2"/>
    </row>
    <row r="58" spans="1:26" ht="15.75" customHeight="1">
      <c r="A58" s="4"/>
      <c r="B58" s="4"/>
      <c r="C58" s="3" t="s">
        <v>145</v>
      </c>
      <c r="D58" s="4"/>
      <c r="E58" s="60">
        <f>SUMPRODUCT($D$32:$D$56,$E$32:$E$56)</f>
        <v>201.67</v>
      </c>
      <c r="F58" s="4"/>
      <c r="G58" s="4"/>
      <c r="H58" s="2"/>
      <c r="I58" s="2"/>
      <c r="J58" s="2"/>
      <c r="K58" s="2"/>
      <c r="L58" s="2"/>
      <c r="M58" s="2"/>
      <c r="N58" s="2"/>
      <c r="O58" s="2"/>
      <c r="P58" s="2"/>
      <c r="Q58" s="2"/>
      <c r="R58" s="2"/>
      <c r="S58" s="2"/>
      <c r="T58" s="2"/>
      <c r="U58" s="2"/>
      <c r="V58" s="2"/>
      <c r="W58" s="2"/>
      <c r="X58" s="2"/>
      <c r="Y58" s="2"/>
      <c r="Z58" s="2"/>
    </row>
    <row r="59" spans="1:26" ht="15.75" customHeight="1">
      <c r="A59" s="2"/>
      <c r="B59" s="2"/>
      <c r="C59" s="2"/>
      <c r="D59" s="2"/>
      <c r="E59" s="61"/>
      <c r="F59" s="2"/>
      <c r="G59" s="2"/>
      <c r="H59" s="2"/>
      <c r="I59" s="2"/>
      <c r="J59" s="2"/>
      <c r="K59" s="2"/>
      <c r="L59" s="2"/>
      <c r="M59" s="2"/>
      <c r="N59" s="2"/>
      <c r="O59" s="2"/>
      <c r="P59" s="2"/>
      <c r="Q59" s="2"/>
      <c r="R59" s="2"/>
      <c r="S59" s="2"/>
      <c r="T59" s="2"/>
      <c r="U59" s="2"/>
      <c r="V59" s="2"/>
      <c r="W59" s="2"/>
      <c r="X59" s="2"/>
      <c r="Y59" s="2"/>
      <c r="Z59" s="2"/>
    </row>
    <row r="60" spans="1:26" ht="15.75" customHeight="1">
      <c r="A60" s="2"/>
      <c r="B60" s="2"/>
      <c r="C60" s="2"/>
      <c r="D60" s="2"/>
      <c r="E60" s="61"/>
      <c r="F60" s="2"/>
      <c r="G60" s="2"/>
      <c r="H60" s="2"/>
      <c r="I60" s="2"/>
      <c r="J60" s="2"/>
      <c r="K60" s="2"/>
      <c r="L60" s="2"/>
      <c r="M60" s="2"/>
      <c r="N60" s="2"/>
      <c r="O60" s="2"/>
      <c r="P60" s="2"/>
      <c r="Q60" s="2"/>
      <c r="R60" s="2"/>
      <c r="S60" s="2"/>
      <c r="T60" s="2"/>
      <c r="U60" s="2"/>
      <c r="V60" s="2"/>
      <c r="W60" s="2"/>
      <c r="X60" s="2"/>
      <c r="Y60" s="2"/>
      <c r="Z60" s="2"/>
    </row>
    <row r="61" spans="1:26" ht="15.75" customHeight="1">
      <c r="A61" s="2"/>
      <c r="B61" s="2"/>
      <c r="C61" s="2"/>
      <c r="D61" s="2"/>
      <c r="E61" s="61"/>
      <c r="F61" s="2"/>
      <c r="G61" s="2"/>
      <c r="H61" s="2"/>
      <c r="I61" s="2"/>
      <c r="J61" s="2"/>
      <c r="K61" s="2"/>
      <c r="L61" s="2"/>
      <c r="M61" s="2"/>
      <c r="N61" s="2"/>
      <c r="O61" s="2"/>
      <c r="P61" s="2"/>
      <c r="Q61" s="2"/>
      <c r="R61" s="2"/>
      <c r="S61" s="2"/>
      <c r="T61" s="2"/>
      <c r="U61" s="2"/>
      <c r="V61" s="2"/>
      <c r="W61" s="2"/>
      <c r="X61" s="2"/>
      <c r="Y61" s="2"/>
      <c r="Z61" s="2"/>
    </row>
    <row r="62" spans="1:26"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F1"/>
    <mergeCell ref="C14:G14"/>
    <mergeCell ref="D19:E19"/>
    <mergeCell ref="C23:G23"/>
  </mergeCells>
  <conditionalFormatting sqref="D19:E19">
    <cfRule type="expression" dxfId="26" priority="1">
      <formula>$C$19="yes"</formula>
    </cfRule>
  </conditionalFormatting>
  <conditionalFormatting sqref="B16:B20">
    <cfRule type="expression" dxfId="25" priority="2">
      <formula>LEFT($C$6,1)="d"</formula>
    </cfRule>
  </conditionalFormatting>
  <conditionalFormatting sqref="C16 C18:C20">
    <cfRule type="expression" dxfId="24" priority="3">
      <formula>LEFT(#REF!,1)="d"</formula>
    </cfRule>
  </conditionalFormatting>
  <dataValidations count="2">
    <dataValidation type="custom" allowBlank="1" showInputMessage="1" showErrorMessage="1" prompt="Please correct Project # to be in the format of D12345678." sqref="E59" xr:uid="{00000000-0002-0000-0100-000001000000}">
      <formula1>AND(ISNUMBER(SEARCH(LEFT(#REF!,1), "ABCDEFGHIJKLNPRSVW")), ISNUMBER(MID(#REF!,2,LEN(#REF!))+0), LEN(#REF!)=9)</formula1>
    </dataValidation>
    <dataValidation type="custom" allowBlank="1" showInputMessage="1" showErrorMessage="1" prompt="wrong" sqref="E60" xr:uid="{00000000-0002-0000-0100-000007000000}">
      <formula1>AND(ISNUMBER(SEARCH(LEFT(#REF!,1), "ABCDEFGHIJKLNPRSVW")), ISNUMBER(MID(#REF!,2,LEN(#REF!))+0), LEN(#REF!)&lt;10)</formula1>
    </dataValidation>
  </dataValidations>
  <hyperlinks>
    <hyperlink ref="C3" r:id="rId1" xr:uid="{00000000-0004-0000-0100-000000000000}"/>
    <hyperlink ref="G32" r:id="rId2" xr:uid="{00000000-0004-0000-0100-000001000000}"/>
    <hyperlink ref="G33" r:id="rId3" xr:uid="{00000000-0004-0000-0100-000002000000}"/>
    <hyperlink ref="G35" r:id="rId4" xr:uid="{00000000-0004-0000-0100-000003000000}"/>
    <hyperlink ref="G36" r:id="rId5" xr:uid="{00000000-0004-0000-0100-000004000000}"/>
    <hyperlink ref="G37" r:id="rId6" xr:uid="{00000000-0004-0000-0100-000005000000}"/>
    <hyperlink ref="G38" r:id="rId7" xr:uid="{00000000-0004-0000-0100-000006000000}"/>
    <hyperlink ref="G39" r:id="rId8" xr:uid="{00000000-0004-0000-0100-000007000000}"/>
    <hyperlink ref="G40" r:id="rId9" xr:uid="{00000000-0004-0000-0100-000008000000}"/>
    <hyperlink ref="G42" r:id="rId10" xr:uid="{00000000-0004-0000-0100-00000A000000}"/>
    <hyperlink ref="G43" r:id="rId11" xr:uid="{00000000-0004-0000-0100-00000B000000}"/>
    <hyperlink ref="G44" r:id="rId12" xr:uid="{00000000-0004-0000-0100-00000C000000}"/>
    <hyperlink ref="G41" r:id="rId13" xr:uid="{F1E144AB-378E-44D8-8BF0-8B9E07047F84}"/>
  </hyperlinks>
  <pageMargins left="0.7" right="0.7" top="0.75" bottom="0.75" header="0" footer="0"/>
  <pageSetup scale="90" orientation="portrait"/>
  <legacyDrawing r:id="rId14"/>
  <extLst>
    <ext xmlns:x14="http://schemas.microsoft.com/office/spreadsheetml/2009/9/main" uri="{CCE6A557-97BC-4b89-ADB6-D9C93CAAB3DF}">
      <x14:dataValidations xmlns:xm="http://schemas.microsoft.com/office/excel/2006/main" count="6">
        <x14:dataValidation type="list" allowBlank="1" showInputMessage="1" showErrorMessage="1" prompt="Please Select  - Sponsor or GTRI" xr:uid="{00000000-0002-0000-0100-000000000000}">
          <x14:formula1>
            <xm:f>Sheet3!$F$2:$F$3</xm:f>
          </x14:formula1>
          <xm:sqref>C17</xm:sqref>
        </x14:dataValidation>
        <x14:dataValidation type="list" allowBlank="1" showInputMessage="1" showErrorMessage="1" prompt="This is a simple &quot;Yes&quot; or &quot;No&quot; question." xr:uid="{00000000-0002-0000-0100-000002000000}">
          <x14:formula1>
            <xm:f>Sheet3!$E$2:$E$3</xm:f>
          </x14:formula1>
          <xm:sqref>C16 C18:C22</xm:sqref>
        </x14:dataValidation>
        <x14:dataValidation type="list" allowBlank="1" showInputMessage="1" showErrorMessage="1" prompt="Please choose from list" xr:uid="{00000000-0002-0000-0100-000003000000}">
          <x14:formula1>
            <xm:f>Sheet3!$K$2:$K$8</xm:f>
          </x14:formula1>
          <xm:sqref>E2</xm:sqref>
        </x14:dataValidation>
        <x14:dataValidation type="list" allowBlank="1" showInputMessage="1" showErrorMessage="1" prompt="Please choose from list." xr:uid="{00000000-0002-0000-0100-000004000000}">
          <x14:formula1>
            <xm:f>Sheet3!$A$2:$A$12</xm:f>
          </x14:formula1>
          <xm:sqref>C25</xm:sqref>
        </x14:dataValidation>
        <x14:dataValidation type="list" allowBlank="1" showInputMessage="1" showErrorMessage="1" prompt="Please choose from list." xr:uid="{00000000-0002-0000-0100-000005000000}">
          <x14:formula1>
            <xm:f>Sheet3!$D$2:$D$6</xm:f>
          </x14:formula1>
          <xm:sqref>C27</xm:sqref>
        </x14:dataValidation>
        <x14:dataValidation type="list" allowBlank="1" showInputMessage="1" showErrorMessage="1" prompt="Please choose from list." xr:uid="{00000000-0002-0000-0100-000006000000}">
          <x14:formula1>
            <xm:f>Sheet3!$B$2:$B$3</xm:f>
          </x14:formula1>
          <xm:sqref>C28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1000"/>
  <sheetViews>
    <sheetView workbookViewId="0"/>
  </sheetViews>
  <sheetFormatPr defaultColWidth="12.625" defaultRowHeight="15" customHeight="1"/>
  <cols>
    <col min="1" max="1" width="13.875" customWidth="1"/>
    <col min="2" max="2" width="35.5" customWidth="1"/>
    <col min="3" max="3" width="34.5" customWidth="1"/>
    <col min="4" max="4" width="11.375" customWidth="1"/>
    <col min="5" max="5" width="13" customWidth="1"/>
    <col min="6" max="6" width="10.875" customWidth="1"/>
    <col min="7" max="7" width="86.125" customWidth="1"/>
    <col min="8" max="26" width="8" customWidth="1"/>
  </cols>
  <sheetData>
    <row r="1" spans="1:26" ht="51" customHeight="1">
      <c r="A1" s="88" t="s">
        <v>1</v>
      </c>
      <c r="B1" s="89"/>
      <c r="C1" s="89"/>
      <c r="D1" s="89"/>
      <c r="E1" s="89"/>
      <c r="F1" s="90"/>
      <c r="G1" s="2" t="str">
        <f>'Under $10k'!G1</f>
        <v>Version 6.3</v>
      </c>
      <c r="H1" s="2"/>
      <c r="I1" s="2"/>
      <c r="J1" s="2"/>
      <c r="K1" s="2"/>
      <c r="L1" s="2"/>
      <c r="M1" s="2"/>
      <c r="N1" s="2"/>
      <c r="O1" s="2"/>
      <c r="P1" s="2"/>
      <c r="Q1" s="2"/>
      <c r="R1" s="2"/>
      <c r="S1" s="2"/>
      <c r="T1" s="2"/>
      <c r="U1" s="2"/>
      <c r="V1" s="2"/>
      <c r="W1" s="2"/>
      <c r="X1" s="2"/>
      <c r="Y1" s="2"/>
      <c r="Z1" s="2"/>
    </row>
    <row r="2" spans="1:26" ht="65.25" customHeight="1">
      <c r="A2" s="3" t="s">
        <v>6</v>
      </c>
      <c r="B2" s="4" t="s">
        <v>8</v>
      </c>
      <c r="C2" s="5"/>
      <c r="D2" s="6" t="s">
        <v>9</v>
      </c>
      <c r="E2" s="8"/>
      <c r="F2" s="9" t="s">
        <v>13</v>
      </c>
      <c r="G2" s="10"/>
      <c r="H2" s="2"/>
      <c r="I2" s="2"/>
      <c r="J2" s="2"/>
      <c r="K2" s="2"/>
      <c r="L2" s="2"/>
      <c r="M2" s="2"/>
      <c r="N2" s="2"/>
      <c r="O2" s="2"/>
      <c r="P2" s="2"/>
      <c r="Q2" s="2"/>
      <c r="R2" s="2"/>
      <c r="S2" s="2"/>
      <c r="T2" s="2"/>
      <c r="U2" s="2"/>
      <c r="V2" s="2"/>
      <c r="W2" s="2"/>
      <c r="X2" s="2"/>
      <c r="Y2" s="2"/>
      <c r="Z2" s="2"/>
    </row>
    <row r="3" spans="1:26" ht="15.75">
      <c r="A3" s="3"/>
      <c r="B3" s="4" t="s">
        <v>16</v>
      </c>
      <c r="C3" s="12"/>
      <c r="D3" s="3"/>
      <c r="E3" s="4"/>
      <c r="F3" s="4"/>
      <c r="G3" s="4"/>
      <c r="H3" s="2"/>
      <c r="I3" s="2"/>
      <c r="J3" s="2"/>
      <c r="K3" s="2"/>
      <c r="L3" s="2"/>
      <c r="M3" s="2"/>
      <c r="N3" s="2"/>
      <c r="O3" s="2"/>
      <c r="P3" s="2"/>
      <c r="Q3" s="2"/>
      <c r="R3" s="2"/>
      <c r="S3" s="2"/>
      <c r="T3" s="2"/>
      <c r="U3" s="2"/>
      <c r="V3" s="2"/>
      <c r="W3" s="2"/>
      <c r="X3" s="2"/>
      <c r="Y3" s="2"/>
      <c r="Z3" s="2"/>
    </row>
    <row r="4" spans="1:26" ht="15.75">
      <c r="A4" s="3"/>
      <c r="B4" s="4" t="s">
        <v>19</v>
      </c>
      <c r="C4" s="14"/>
      <c r="D4" s="3"/>
      <c r="E4" s="4"/>
      <c r="F4" s="4"/>
      <c r="G4" s="4"/>
      <c r="H4" s="2"/>
      <c r="I4" s="2"/>
      <c r="J4" s="2"/>
      <c r="K4" s="2"/>
      <c r="L4" s="2"/>
      <c r="M4" s="2"/>
      <c r="N4" s="2"/>
      <c r="O4" s="2"/>
      <c r="P4" s="2"/>
      <c r="Q4" s="2"/>
      <c r="R4" s="2"/>
      <c r="S4" s="2"/>
      <c r="T4" s="2"/>
      <c r="U4" s="2"/>
      <c r="V4" s="2"/>
      <c r="W4" s="2"/>
      <c r="X4" s="2"/>
      <c r="Y4" s="2"/>
      <c r="Z4" s="2"/>
    </row>
    <row r="5" spans="1:26" ht="15.75">
      <c r="A5" s="3"/>
      <c r="B5" s="4"/>
      <c r="C5" s="16"/>
      <c r="D5" s="3"/>
      <c r="E5" s="4"/>
      <c r="F5" s="4"/>
      <c r="G5" s="4"/>
      <c r="H5" s="2"/>
      <c r="I5" s="2"/>
      <c r="J5" s="2"/>
      <c r="K5" s="2"/>
      <c r="L5" s="2"/>
      <c r="M5" s="2"/>
      <c r="N5" s="2"/>
      <c r="O5" s="2"/>
      <c r="P5" s="2"/>
      <c r="Q5" s="2"/>
      <c r="R5" s="2"/>
      <c r="S5" s="2"/>
      <c r="T5" s="2"/>
      <c r="U5" s="2"/>
      <c r="V5" s="2"/>
      <c r="W5" s="2"/>
      <c r="X5" s="2"/>
      <c r="Y5" s="2"/>
      <c r="Z5" s="2"/>
    </row>
    <row r="6" spans="1:26" ht="15.75">
      <c r="A6" s="3" t="s">
        <v>22</v>
      </c>
      <c r="B6" s="4" t="s">
        <v>23</v>
      </c>
      <c r="C6" s="8"/>
      <c r="D6" s="4"/>
      <c r="E6" s="4"/>
      <c r="F6" s="4"/>
      <c r="G6" s="4"/>
      <c r="H6" s="2"/>
      <c r="I6" s="2"/>
      <c r="J6" s="2"/>
      <c r="K6" s="2"/>
      <c r="L6" s="2"/>
      <c r="M6" s="2"/>
      <c r="N6" s="2"/>
      <c r="O6" s="2"/>
      <c r="P6" s="2"/>
      <c r="Q6" s="2"/>
      <c r="R6" s="2"/>
      <c r="S6" s="2"/>
      <c r="T6" s="2"/>
      <c r="U6" s="2"/>
      <c r="V6" s="2"/>
      <c r="W6" s="2"/>
      <c r="X6" s="2"/>
      <c r="Y6" s="2"/>
      <c r="Z6" s="2"/>
    </row>
    <row r="7" spans="1:26" ht="15.75">
      <c r="A7" s="4"/>
      <c r="B7" s="4" t="s">
        <v>24</v>
      </c>
      <c r="C7" s="18"/>
      <c r="D7" s="4"/>
      <c r="E7" s="4"/>
      <c r="F7" s="4"/>
      <c r="G7" s="4"/>
      <c r="H7" s="2"/>
      <c r="I7" s="2"/>
      <c r="J7" s="2"/>
      <c r="K7" s="2"/>
      <c r="L7" s="2"/>
      <c r="M7" s="2"/>
      <c r="N7" s="2"/>
      <c r="O7" s="2"/>
      <c r="P7" s="2"/>
      <c r="Q7" s="2"/>
      <c r="R7" s="2"/>
      <c r="S7" s="2"/>
      <c r="T7" s="2"/>
      <c r="U7" s="2"/>
      <c r="V7" s="2"/>
      <c r="W7" s="2"/>
      <c r="X7" s="2"/>
      <c r="Y7" s="2"/>
      <c r="Z7" s="2"/>
    </row>
    <row r="8" spans="1:26" ht="15.75">
      <c r="A8" s="4"/>
      <c r="B8" s="4" t="s">
        <v>26</v>
      </c>
      <c r="C8" s="8"/>
      <c r="D8" s="4"/>
      <c r="E8" s="4"/>
      <c r="F8" s="4"/>
      <c r="G8" s="4"/>
      <c r="H8" s="2"/>
      <c r="I8" s="2"/>
      <c r="J8" s="2"/>
      <c r="K8" s="2"/>
      <c r="L8" s="2"/>
      <c r="M8" s="2"/>
      <c r="N8" s="2"/>
      <c r="O8" s="2"/>
      <c r="P8" s="2"/>
      <c r="Q8" s="2"/>
      <c r="R8" s="2"/>
      <c r="S8" s="2"/>
      <c r="T8" s="2"/>
      <c r="U8" s="2"/>
      <c r="V8" s="2"/>
      <c r="W8" s="2"/>
      <c r="X8" s="2"/>
      <c r="Y8" s="2"/>
      <c r="Z8" s="2"/>
    </row>
    <row r="9" spans="1:26" ht="15.75">
      <c r="A9" s="4"/>
      <c r="B9" s="20"/>
      <c r="C9" s="16"/>
      <c r="D9" s="4"/>
      <c r="E9" s="4"/>
      <c r="F9" s="4"/>
      <c r="G9" s="4"/>
      <c r="H9" s="2"/>
      <c r="I9" s="2"/>
      <c r="J9" s="2"/>
      <c r="K9" s="2"/>
      <c r="L9" s="2"/>
      <c r="M9" s="2"/>
      <c r="N9" s="2"/>
      <c r="O9" s="2"/>
      <c r="P9" s="2"/>
      <c r="Q9" s="2"/>
      <c r="R9" s="2"/>
      <c r="S9" s="2"/>
      <c r="T9" s="2"/>
      <c r="U9" s="2"/>
      <c r="V9" s="2"/>
      <c r="W9" s="2"/>
      <c r="X9" s="2"/>
      <c r="Y9" s="2"/>
      <c r="Z9" s="2"/>
    </row>
    <row r="10" spans="1:26" ht="15.75">
      <c r="A10" s="3" t="s">
        <v>33</v>
      </c>
      <c r="B10" s="4" t="s">
        <v>34</v>
      </c>
      <c r="C10" s="5"/>
      <c r="D10" s="4"/>
      <c r="E10" s="4"/>
      <c r="F10" s="4"/>
      <c r="G10" s="4"/>
      <c r="H10" s="2"/>
      <c r="I10" s="2"/>
      <c r="J10" s="2"/>
      <c r="K10" s="2"/>
      <c r="L10" s="2"/>
      <c r="M10" s="2"/>
      <c r="N10" s="2"/>
      <c r="O10" s="2"/>
      <c r="P10" s="2"/>
      <c r="Q10" s="2"/>
      <c r="R10" s="2"/>
      <c r="S10" s="2"/>
      <c r="T10" s="2"/>
      <c r="U10" s="2"/>
      <c r="V10" s="2"/>
      <c r="W10" s="2"/>
      <c r="X10" s="2"/>
      <c r="Y10" s="2"/>
      <c r="Z10" s="2"/>
    </row>
    <row r="11" spans="1:26" ht="15.75">
      <c r="A11" s="3"/>
      <c r="B11" s="4"/>
      <c r="C11" s="16"/>
      <c r="D11" s="4"/>
      <c r="E11" s="4"/>
      <c r="F11" s="4"/>
      <c r="G11" s="4"/>
      <c r="H11" s="2"/>
      <c r="I11" s="2"/>
      <c r="J11" s="2"/>
      <c r="K11" s="2"/>
      <c r="L11" s="2"/>
      <c r="M11" s="2"/>
      <c r="N11" s="2"/>
      <c r="O11" s="2"/>
      <c r="P11" s="2"/>
      <c r="Q11" s="2"/>
      <c r="R11" s="2"/>
      <c r="S11" s="2"/>
      <c r="T11" s="2"/>
      <c r="U11" s="2"/>
      <c r="V11" s="2"/>
      <c r="W11" s="2"/>
      <c r="X11" s="2"/>
      <c r="Y11" s="2"/>
      <c r="Z11" s="2"/>
    </row>
    <row r="12" spans="1:26" ht="15.75">
      <c r="A12" s="3" t="s">
        <v>37</v>
      </c>
      <c r="B12" s="4"/>
      <c r="C12" s="16"/>
      <c r="D12" s="4"/>
      <c r="E12" s="4"/>
      <c r="F12" s="4"/>
      <c r="G12" s="4"/>
      <c r="H12" s="2"/>
      <c r="I12" s="2"/>
      <c r="J12" s="2"/>
      <c r="K12" s="2"/>
      <c r="L12" s="2"/>
      <c r="M12" s="2"/>
      <c r="N12" s="2"/>
      <c r="O12" s="2"/>
      <c r="P12" s="2"/>
      <c r="Q12" s="2"/>
      <c r="R12" s="2"/>
      <c r="S12" s="2"/>
      <c r="T12" s="2"/>
      <c r="U12" s="2"/>
      <c r="V12" s="2"/>
      <c r="W12" s="2"/>
      <c r="X12" s="2"/>
      <c r="Y12" s="2"/>
      <c r="Z12" s="2"/>
    </row>
    <row r="13" spans="1:26" ht="31.5">
      <c r="A13" s="3"/>
      <c r="B13" s="22" t="s">
        <v>39</v>
      </c>
      <c r="C13" s="95"/>
      <c r="D13" s="92"/>
      <c r="E13" s="92"/>
      <c r="F13" s="92"/>
      <c r="G13" s="93"/>
      <c r="H13" s="2"/>
      <c r="I13" s="2"/>
      <c r="J13" s="2"/>
      <c r="K13" s="2"/>
      <c r="L13" s="2"/>
      <c r="M13" s="2"/>
      <c r="N13" s="2"/>
      <c r="O13" s="2"/>
      <c r="P13" s="2"/>
      <c r="Q13" s="2"/>
      <c r="R13" s="2"/>
      <c r="S13" s="2"/>
      <c r="T13" s="2"/>
      <c r="U13" s="2"/>
      <c r="V13" s="2"/>
      <c r="W13" s="2"/>
      <c r="X13" s="2"/>
      <c r="Y13" s="2"/>
      <c r="Z13" s="2"/>
    </row>
    <row r="14" spans="1:26" ht="15.75">
      <c r="A14" s="3"/>
      <c r="B14" s="4"/>
      <c r="C14" s="16"/>
      <c r="D14" s="4"/>
      <c r="E14" s="4"/>
      <c r="F14" s="4"/>
      <c r="G14" s="4"/>
      <c r="H14" s="2"/>
      <c r="I14" s="2"/>
      <c r="J14" s="2"/>
      <c r="K14" s="2"/>
      <c r="L14" s="2"/>
      <c r="M14" s="2"/>
      <c r="N14" s="2"/>
      <c r="O14" s="2"/>
      <c r="P14" s="2"/>
      <c r="Q14" s="2"/>
      <c r="R14" s="2"/>
      <c r="S14" s="2"/>
      <c r="T14" s="2"/>
      <c r="U14" s="2"/>
      <c r="V14" s="2"/>
      <c r="W14" s="2"/>
      <c r="X14" s="2"/>
      <c r="Y14" s="2"/>
      <c r="Z14" s="2"/>
    </row>
    <row r="15" spans="1:26" ht="63">
      <c r="A15" s="3"/>
      <c r="B15" s="25" t="str">
        <f>"Are these products going to be used exclusively on this project ("&amp;LEFT(C6,5)&amp;") as property of the sponsor unless sponsor has authorized us to retain them?"</f>
        <v>Are these products going to be used exclusively on this project () as property of the sponsor unless sponsor has authorized us to retain them?</v>
      </c>
      <c r="C15" s="16"/>
      <c r="D15" s="4"/>
      <c r="E15" s="4"/>
      <c r="F15" s="4"/>
      <c r="G15" s="4"/>
      <c r="H15" s="2"/>
      <c r="I15" s="2"/>
      <c r="J15" s="2"/>
      <c r="K15" s="2"/>
      <c r="L15" s="2"/>
      <c r="M15" s="2"/>
      <c r="N15" s="2"/>
      <c r="O15" s="2"/>
      <c r="P15" s="2"/>
      <c r="Q15" s="2"/>
      <c r="R15" s="2"/>
      <c r="S15" s="2"/>
      <c r="T15" s="2"/>
      <c r="U15" s="2"/>
      <c r="V15" s="2"/>
      <c r="W15" s="2"/>
      <c r="X15" s="2"/>
      <c r="Y15" s="2"/>
      <c r="Z15" s="2"/>
    </row>
    <row r="16" spans="1:26" ht="47.25">
      <c r="A16" s="3"/>
      <c r="B16" s="25" t="s">
        <v>50</v>
      </c>
      <c r="C16" s="26"/>
      <c r="D16" s="28"/>
      <c r="E16" s="28"/>
      <c r="F16" s="28"/>
      <c r="G16" s="4"/>
      <c r="H16" s="2"/>
      <c r="I16" s="2"/>
      <c r="J16" s="2"/>
      <c r="K16" s="2"/>
      <c r="L16" s="2"/>
      <c r="M16" s="2"/>
      <c r="N16" s="2"/>
      <c r="O16" s="2"/>
      <c r="P16" s="2"/>
      <c r="Q16" s="2"/>
      <c r="R16" s="2"/>
      <c r="S16" s="2"/>
      <c r="T16" s="2"/>
      <c r="U16" s="2"/>
      <c r="V16" s="2"/>
      <c r="W16" s="2"/>
      <c r="X16" s="2"/>
      <c r="Y16" s="2"/>
      <c r="Z16" s="2"/>
    </row>
    <row r="17" spans="1:26" ht="47.25">
      <c r="A17" s="3"/>
      <c r="B17" s="25" t="s">
        <v>53</v>
      </c>
      <c r="C17" s="28"/>
      <c r="D17" s="4"/>
      <c r="E17" s="4"/>
      <c r="F17" s="4"/>
      <c r="G17" s="4"/>
      <c r="H17" s="2"/>
      <c r="I17" s="2"/>
      <c r="J17" s="2"/>
      <c r="K17" s="2"/>
      <c r="L17" s="2"/>
      <c r="M17" s="2"/>
      <c r="N17" s="2"/>
      <c r="O17" s="2"/>
      <c r="P17" s="2"/>
      <c r="Q17" s="2"/>
      <c r="R17" s="2"/>
      <c r="S17" s="2"/>
      <c r="T17" s="2"/>
      <c r="U17" s="2"/>
      <c r="V17" s="2"/>
      <c r="W17" s="2"/>
      <c r="X17" s="2"/>
      <c r="Y17" s="2"/>
      <c r="Z17" s="2"/>
    </row>
    <row r="18" spans="1:26" ht="31.5" customHeight="1">
      <c r="A18" s="3"/>
      <c r="B18" s="25" t="s">
        <v>55</v>
      </c>
      <c r="C18" s="28"/>
      <c r="D18" s="94" t="s">
        <v>56</v>
      </c>
      <c r="E18" s="85"/>
      <c r="F18" s="8"/>
      <c r="G18" s="4"/>
      <c r="H18" s="2"/>
      <c r="I18" s="2"/>
      <c r="J18" s="2"/>
      <c r="K18" s="2"/>
      <c r="L18" s="2"/>
      <c r="M18" s="2"/>
      <c r="N18" s="2"/>
      <c r="O18" s="2"/>
      <c r="P18" s="2"/>
      <c r="Q18" s="2"/>
      <c r="R18" s="2"/>
      <c r="S18" s="2"/>
      <c r="T18" s="2"/>
      <c r="U18" s="2"/>
      <c r="V18" s="2"/>
      <c r="W18" s="2"/>
      <c r="X18" s="2"/>
      <c r="Y18" s="2"/>
      <c r="Z18" s="2"/>
    </row>
    <row r="19" spans="1:26" ht="31.5">
      <c r="A19" s="3"/>
      <c r="B19" s="25" t="s">
        <v>58</v>
      </c>
      <c r="C19" s="28"/>
      <c r="D19" s="31"/>
      <c r="E19" s="31"/>
      <c r="F19" s="31"/>
      <c r="G19" s="4"/>
      <c r="H19" s="2"/>
      <c r="I19" s="2"/>
      <c r="J19" s="2"/>
      <c r="K19" s="2"/>
      <c r="L19" s="2"/>
      <c r="M19" s="2"/>
      <c r="N19" s="2"/>
      <c r="O19" s="2"/>
      <c r="P19" s="2"/>
      <c r="Q19" s="2"/>
      <c r="R19" s="2"/>
      <c r="S19" s="2"/>
      <c r="T19" s="2"/>
      <c r="U19" s="2"/>
      <c r="V19" s="2"/>
      <c r="W19" s="2"/>
      <c r="X19" s="2"/>
      <c r="Y19" s="2"/>
      <c r="Z19" s="2"/>
    </row>
    <row r="20" spans="1:26" ht="47.25">
      <c r="A20" s="4"/>
      <c r="B20" s="22" t="s">
        <v>59</v>
      </c>
      <c r="C20" s="5"/>
      <c r="D20" s="4"/>
      <c r="E20" s="4"/>
      <c r="F20" s="4"/>
      <c r="G20" s="4"/>
      <c r="H20" s="2"/>
      <c r="I20" s="2"/>
      <c r="J20" s="2"/>
      <c r="K20" s="2"/>
      <c r="L20" s="2"/>
      <c r="M20" s="2"/>
      <c r="N20" s="2"/>
      <c r="O20" s="2"/>
      <c r="P20" s="2"/>
      <c r="Q20" s="2"/>
      <c r="R20" s="2"/>
      <c r="S20" s="2"/>
      <c r="T20" s="2"/>
      <c r="U20" s="2"/>
      <c r="V20" s="2"/>
      <c r="W20" s="2"/>
      <c r="X20" s="2"/>
      <c r="Y20" s="2"/>
      <c r="Z20" s="2"/>
    </row>
    <row r="21" spans="1:26" ht="15.75" customHeight="1">
      <c r="A21" s="4"/>
      <c r="B21" s="22"/>
      <c r="C21" s="16"/>
      <c r="D21" s="4"/>
      <c r="E21" s="4"/>
      <c r="F21" s="4"/>
      <c r="G21" s="4"/>
      <c r="H21" s="2"/>
      <c r="I21" s="2"/>
      <c r="J21" s="2"/>
      <c r="K21" s="2"/>
      <c r="L21" s="2"/>
      <c r="M21" s="2"/>
      <c r="N21" s="2"/>
      <c r="O21" s="2"/>
      <c r="P21" s="2"/>
      <c r="Q21" s="2"/>
      <c r="R21" s="2"/>
      <c r="S21" s="2"/>
      <c r="T21" s="2"/>
      <c r="U21" s="2"/>
      <c r="V21" s="2"/>
      <c r="W21" s="2"/>
      <c r="X21" s="2"/>
      <c r="Y21" s="2"/>
      <c r="Z21" s="2"/>
    </row>
    <row r="22" spans="1:26" ht="100.5" customHeight="1">
      <c r="A22" s="4"/>
      <c r="B22" s="32" t="s">
        <v>63</v>
      </c>
      <c r="C22" s="91"/>
      <c r="D22" s="92"/>
      <c r="E22" s="92"/>
      <c r="F22" s="92"/>
      <c r="G22" s="93"/>
      <c r="H22" s="2"/>
      <c r="I22" s="2"/>
      <c r="J22" s="2"/>
      <c r="K22" s="2"/>
      <c r="L22" s="2"/>
      <c r="M22" s="2"/>
      <c r="N22" s="2"/>
      <c r="O22" s="2"/>
      <c r="P22" s="2"/>
      <c r="Q22" s="2"/>
      <c r="R22" s="2"/>
      <c r="S22" s="2"/>
      <c r="T22" s="2"/>
      <c r="U22" s="2"/>
      <c r="V22" s="2"/>
      <c r="W22" s="2"/>
      <c r="X22" s="2"/>
      <c r="Y22" s="2"/>
      <c r="Z22" s="2"/>
    </row>
    <row r="23" spans="1:26" ht="15.75" customHeight="1">
      <c r="A23" s="4"/>
      <c r="B23" s="4"/>
      <c r="C23" s="16"/>
      <c r="D23" s="4"/>
      <c r="E23" s="4"/>
      <c r="F23" s="4"/>
      <c r="G23" s="4"/>
      <c r="H23" s="2"/>
      <c r="I23" s="2"/>
      <c r="J23" s="2"/>
      <c r="K23" s="2"/>
      <c r="L23" s="2"/>
      <c r="M23" s="2"/>
      <c r="N23" s="2"/>
      <c r="O23" s="2"/>
      <c r="P23" s="2"/>
      <c r="Q23" s="2"/>
      <c r="R23" s="2"/>
      <c r="S23" s="2"/>
      <c r="T23" s="2"/>
      <c r="U23" s="2"/>
      <c r="V23" s="2"/>
      <c r="W23" s="2"/>
      <c r="X23" s="2"/>
      <c r="Y23" s="2"/>
      <c r="Z23" s="2"/>
    </row>
    <row r="24" spans="1:26" ht="15.75" customHeight="1">
      <c r="A24" s="4"/>
      <c r="B24" s="34" t="s">
        <v>65</v>
      </c>
      <c r="C24" s="16"/>
      <c r="D24" s="4"/>
      <c r="E24" s="4"/>
      <c r="F24" s="4"/>
      <c r="G24" s="4"/>
      <c r="H24" s="2"/>
      <c r="I24" s="2"/>
      <c r="J24" s="2"/>
      <c r="K24" s="2"/>
      <c r="L24" s="2"/>
      <c r="M24" s="2"/>
      <c r="N24" s="2"/>
      <c r="O24" s="2"/>
      <c r="P24" s="2"/>
      <c r="Q24" s="2"/>
      <c r="R24" s="2"/>
      <c r="S24" s="2"/>
      <c r="T24" s="2"/>
      <c r="U24" s="2"/>
      <c r="V24" s="2"/>
      <c r="W24" s="2"/>
      <c r="X24" s="2"/>
      <c r="Y24" s="2"/>
      <c r="Z24" s="2"/>
    </row>
    <row r="25" spans="1:26" ht="15.75" customHeight="1">
      <c r="A25" s="4"/>
      <c r="B25" s="4"/>
      <c r="C25" s="16"/>
      <c r="D25" s="4"/>
      <c r="E25" s="4"/>
      <c r="F25" s="4"/>
      <c r="G25" s="4"/>
      <c r="H25" s="2"/>
      <c r="I25" s="2"/>
      <c r="J25" s="2"/>
      <c r="K25" s="2"/>
      <c r="L25" s="2"/>
      <c r="M25" s="2"/>
      <c r="N25" s="2"/>
      <c r="O25" s="2"/>
      <c r="P25" s="2"/>
      <c r="Q25" s="2"/>
      <c r="R25" s="2"/>
      <c r="S25" s="2"/>
      <c r="T25" s="2"/>
      <c r="U25" s="2"/>
      <c r="V25" s="2"/>
      <c r="W25" s="2"/>
      <c r="X25" s="2"/>
      <c r="Y25" s="2"/>
      <c r="Z25" s="2"/>
    </row>
    <row r="26" spans="1:26" ht="15.75" customHeight="1">
      <c r="A26" s="3" t="s">
        <v>69</v>
      </c>
      <c r="B26" s="4" t="s">
        <v>70</v>
      </c>
      <c r="C26" s="5"/>
      <c r="D26" s="4"/>
      <c r="E26" s="4"/>
      <c r="F26" s="4"/>
      <c r="G26" s="4"/>
      <c r="H26" s="2"/>
      <c r="I26" s="2"/>
      <c r="J26" s="2"/>
      <c r="K26" s="2"/>
      <c r="L26" s="2"/>
      <c r="M26" s="2"/>
      <c r="N26" s="2"/>
      <c r="O26" s="2"/>
      <c r="P26" s="2"/>
      <c r="Q26" s="2"/>
      <c r="R26" s="2"/>
      <c r="S26" s="2"/>
      <c r="T26" s="2"/>
      <c r="U26" s="2"/>
      <c r="V26" s="2"/>
      <c r="W26" s="2"/>
      <c r="X26" s="2"/>
      <c r="Y26" s="2"/>
      <c r="Z26" s="2"/>
    </row>
    <row r="27" spans="1:26" ht="15.75" customHeight="1">
      <c r="A27" s="4"/>
      <c r="B27" s="4" t="s">
        <v>72</v>
      </c>
      <c r="C27" s="35"/>
      <c r="D27" s="4"/>
      <c r="E27" s="4"/>
      <c r="F27" s="4"/>
      <c r="G27" s="4"/>
      <c r="H27" s="2"/>
      <c r="I27" s="2"/>
      <c r="J27" s="2"/>
      <c r="K27" s="2"/>
      <c r="L27" s="2"/>
      <c r="M27" s="2"/>
      <c r="N27" s="2"/>
      <c r="O27" s="2"/>
      <c r="P27" s="2"/>
      <c r="Q27" s="2"/>
      <c r="R27" s="2"/>
      <c r="S27" s="2"/>
      <c r="T27" s="2"/>
      <c r="U27" s="2"/>
      <c r="V27" s="2"/>
      <c r="W27" s="2"/>
      <c r="X27" s="2"/>
      <c r="Y27" s="2"/>
      <c r="Z27" s="2"/>
    </row>
    <row r="28" spans="1:26" ht="15.75" customHeight="1">
      <c r="A28" s="4"/>
      <c r="B28" s="22" t="s">
        <v>74</v>
      </c>
      <c r="C28" s="36"/>
      <c r="D28" s="4"/>
      <c r="E28" s="4"/>
      <c r="F28" s="4"/>
      <c r="G28" s="4"/>
      <c r="H28" s="2"/>
      <c r="I28" s="2"/>
      <c r="J28" s="2"/>
      <c r="K28" s="2"/>
      <c r="L28" s="2"/>
      <c r="M28" s="2"/>
      <c r="N28" s="2"/>
      <c r="O28" s="2"/>
      <c r="P28" s="2"/>
      <c r="Q28" s="2"/>
      <c r="R28" s="2"/>
      <c r="S28" s="2"/>
      <c r="T28" s="2"/>
      <c r="U28" s="2"/>
      <c r="V28" s="2"/>
      <c r="W28" s="2"/>
      <c r="X28" s="2"/>
      <c r="Y28" s="2"/>
      <c r="Z28" s="2"/>
    </row>
    <row r="29" spans="1:26" ht="15.75" customHeight="1">
      <c r="A29" s="4"/>
      <c r="B29" s="22" t="s">
        <v>78</v>
      </c>
      <c r="C29" s="21"/>
      <c r="D29" s="4"/>
      <c r="E29" s="4"/>
      <c r="F29" s="4"/>
      <c r="G29" s="4"/>
      <c r="H29" s="2"/>
      <c r="I29" s="2"/>
      <c r="J29" s="2"/>
      <c r="K29" s="2"/>
      <c r="L29" s="2"/>
      <c r="M29" s="2"/>
      <c r="N29" s="2"/>
      <c r="O29" s="2"/>
      <c r="P29" s="2"/>
      <c r="Q29" s="2"/>
      <c r="R29" s="2"/>
      <c r="S29" s="2"/>
      <c r="T29" s="2"/>
      <c r="U29" s="2"/>
      <c r="V29" s="2"/>
      <c r="W29" s="2"/>
      <c r="X29" s="2"/>
      <c r="Y29" s="2"/>
      <c r="Z29" s="2"/>
    </row>
    <row r="30" spans="1:26" ht="15.75" customHeight="1">
      <c r="A30" s="4"/>
      <c r="B30" s="22" t="s">
        <v>79</v>
      </c>
      <c r="C30" s="37"/>
      <c r="D30" s="4"/>
      <c r="E30" s="4"/>
      <c r="F30" s="4"/>
      <c r="G30" s="4"/>
      <c r="H30" s="2"/>
      <c r="I30" s="2"/>
      <c r="J30" s="2"/>
      <c r="K30" s="2"/>
      <c r="L30" s="2"/>
      <c r="M30" s="2"/>
      <c r="N30" s="2"/>
      <c r="O30" s="2"/>
      <c r="P30" s="2"/>
      <c r="Q30" s="2"/>
      <c r="R30" s="2"/>
      <c r="S30" s="2"/>
      <c r="T30" s="2"/>
      <c r="U30" s="2"/>
      <c r="V30" s="2"/>
      <c r="W30" s="2"/>
      <c r="X30" s="2"/>
      <c r="Y30" s="2"/>
      <c r="Z30" s="2"/>
    </row>
    <row r="31" spans="1:26" ht="15.75" customHeight="1">
      <c r="A31" s="4"/>
      <c r="B31" s="4"/>
      <c r="C31" s="4"/>
      <c r="D31" s="4"/>
      <c r="E31" s="4"/>
      <c r="F31" s="4"/>
      <c r="G31" s="4"/>
      <c r="H31" s="2"/>
      <c r="I31" s="2"/>
      <c r="J31" s="2"/>
      <c r="K31" s="2"/>
      <c r="L31" s="2"/>
      <c r="M31" s="2"/>
      <c r="N31" s="2"/>
      <c r="O31" s="2"/>
      <c r="P31" s="2"/>
      <c r="Q31" s="2"/>
      <c r="R31" s="2"/>
      <c r="S31" s="2"/>
      <c r="T31" s="2"/>
      <c r="U31" s="2"/>
      <c r="V31" s="2"/>
      <c r="W31" s="2"/>
      <c r="X31" s="2"/>
      <c r="Y31" s="2"/>
      <c r="Z31" s="2"/>
    </row>
    <row r="32" spans="1:26" ht="15.75" customHeight="1">
      <c r="A32" s="38" t="s">
        <v>84</v>
      </c>
      <c r="B32" s="38" t="s">
        <v>85</v>
      </c>
      <c r="C32" s="38" t="s">
        <v>86</v>
      </c>
      <c r="D32" s="38" t="s">
        <v>87</v>
      </c>
      <c r="E32" s="38" t="s">
        <v>88</v>
      </c>
      <c r="F32" s="38" t="s">
        <v>89</v>
      </c>
      <c r="G32" s="39" t="s">
        <v>90</v>
      </c>
      <c r="H32" s="2"/>
      <c r="I32" s="2"/>
      <c r="J32" s="2"/>
      <c r="K32" s="2"/>
      <c r="L32" s="2"/>
      <c r="M32" s="2"/>
      <c r="N32" s="2"/>
      <c r="O32" s="2"/>
      <c r="P32" s="2"/>
      <c r="Q32" s="2"/>
      <c r="R32" s="2"/>
      <c r="S32" s="2"/>
      <c r="T32" s="2"/>
      <c r="U32" s="2"/>
      <c r="V32" s="2"/>
      <c r="W32" s="2"/>
      <c r="X32" s="2"/>
      <c r="Y32" s="2"/>
      <c r="Z32" s="2"/>
    </row>
    <row r="33" spans="1:26" ht="40.5" customHeight="1">
      <c r="A33" s="40">
        <v>1</v>
      </c>
      <c r="B33" s="42"/>
      <c r="C33" s="42"/>
      <c r="D33" s="44"/>
      <c r="E33" s="46"/>
      <c r="F33" s="47"/>
      <c r="G33" s="48"/>
      <c r="H33" s="2"/>
      <c r="I33" s="2"/>
      <c r="J33" s="2"/>
      <c r="K33" s="2"/>
      <c r="L33" s="2"/>
      <c r="M33" s="2"/>
      <c r="N33" s="2"/>
      <c r="O33" s="2"/>
      <c r="P33" s="2"/>
      <c r="Q33" s="2"/>
      <c r="R33" s="2"/>
      <c r="S33" s="2"/>
      <c r="T33" s="2"/>
      <c r="U33" s="2"/>
      <c r="V33" s="2"/>
      <c r="W33" s="2"/>
      <c r="X33" s="2"/>
      <c r="Y33" s="2"/>
      <c r="Z33" s="2"/>
    </row>
    <row r="34" spans="1:26" ht="40.5" customHeight="1">
      <c r="A34" s="49">
        <v>2</v>
      </c>
      <c r="B34" s="50"/>
      <c r="C34" s="50"/>
      <c r="D34" s="44"/>
      <c r="E34" s="46"/>
      <c r="F34" s="47"/>
      <c r="G34" s="52"/>
      <c r="H34" s="2"/>
      <c r="I34" s="2"/>
      <c r="J34" s="2"/>
      <c r="K34" s="2"/>
      <c r="L34" s="2"/>
      <c r="M34" s="2"/>
      <c r="N34" s="2"/>
      <c r="O34" s="2"/>
      <c r="P34" s="2"/>
      <c r="Q34" s="2"/>
      <c r="R34" s="2"/>
      <c r="S34" s="2"/>
      <c r="T34" s="2"/>
      <c r="U34" s="2"/>
      <c r="V34" s="2"/>
      <c r="W34" s="2"/>
      <c r="X34" s="2"/>
      <c r="Y34" s="2"/>
      <c r="Z34" s="2"/>
    </row>
    <row r="35" spans="1:26" ht="40.5" customHeight="1">
      <c r="A35" s="49">
        <v>3</v>
      </c>
      <c r="B35" s="50"/>
      <c r="C35" s="50"/>
      <c r="D35" s="44"/>
      <c r="E35" s="46"/>
      <c r="F35" s="47"/>
      <c r="G35" s="52"/>
      <c r="H35" s="2"/>
      <c r="I35" s="2"/>
      <c r="J35" s="2"/>
      <c r="K35" s="2"/>
      <c r="L35" s="2"/>
      <c r="M35" s="2"/>
      <c r="N35" s="2"/>
      <c r="O35" s="2"/>
      <c r="P35" s="2"/>
      <c r="Q35" s="2"/>
      <c r="R35" s="2"/>
      <c r="S35" s="2"/>
      <c r="T35" s="2"/>
      <c r="U35" s="2"/>
      <c r="V35" s="2"/>
      <c r="W35" s="2"/>
      <c r="X35" s="2"/>
      <c r="Y35" s="2"/>
      <c r="Z35" s="2"/>
    </row>
    <row r="36" spans="1:26" ht="40.5" customHeight="1">
      <c r="A36" s="49">
        <v>4</v>
      </c>
      <c r="B36" s="50"/>
      <c r="C36" s="50"/>
      <c r="D36" s="44"/>
      <c r="E36" s="46"/>
      <c r="F36" s="47"/>
      <c r="G36" s="52"/>
      <c r="H36" s="2"/>
      <c r="I36" s="2"/>
      <c r="J36" s="2"/>
      <c r="K36" s="2"/>
      <c r="L36" s="2"/>
      <c r="M36" s="2"/>
      <c r="N36" s="2"/>
      <c r="O36" s="2"/>
      <c r="P36" s="2"/>
      <c r="Q36" s="2"/>
      <c r="R36" s="2"/>
      <c r="S36" s="2"/>
      <c r="T36" s="2"/>
      <c r="U36" s="2"/>
      <c r="V36" s="2"/>
      <c r="W36" s="2"/>
      <c r="X36" s="2"/>
      <c r="Y36" s="2"/>
      <c r="Z36" s="2"/>
    </row>
    <row r="37" spans="1:26" ht="40.5" customHeight="1">
      <c r="A37" s="49">
        <v>5</v>
      </c>
      <c r="B37" s="50"/>
      <c r="C37" s="50"/>
      <c r="D37" s="44"/>
      <c r="E37" s="46"/>
      <c r="F37" s="47"/>
      <c r="G37" s="52"/>
      <c r="H37" s="2"/>
      <c r="I37" s="2"/>
      <c r="J37" s="2"/>
      <c r="K37" s="2"/>
      <c r="L37" s="2"/>
      <c r="M37" s="2"/>
      <c r="N37" s="2"/>
      <c r="O37" s="2"/>
      <c r="P37" s="2"/>
      <c r="Q37" s="2"/>
      <c r="R37" s="2"/>
      <c r="S37" s="2"/>
      <c r="T37" s="2"/>
      <c r="U37" s="2"/>
      <c r="V37" s="2"/>
      <c r="W37" s="2"/>
      <c r="X37" s="2"/>
      <c r="Y37" s="2"/>
      <c r="Z37" s="2"/>
    </row>
    <row r="38" spans="1:26" ht="40.5" customHeight="1">
      <c r="A38" s="49">
        <v>6</v>
      </c>
      <c r="B38" s="50"/>
      <c r="C38" s="50"/>
      <c r="D38" s="44"/>
      <c r="E38" s="46"/>
      <c r="F38" s="47"/>
      <c r="G38" s="52"/>
      <c r="H38" s="2"/>
      <c r="I38" s="2"/>
      <c r="J38" s="2"/>
      <c r="K38" s="2"/>
      <c r="L38" s="2"/>
      <c r="M38" s="2"/>
      <c r="N38" s="2"/>
      <c r="O38" s="2"/>
      <c r="P38" s="2"/>
      <c r="Q38" s="2"/>
      <c r="R38" s="2"/>
      <c r="S38" s="2"/>
      <c r="T38" s="2"/>
      <c r="U38" s="2"/>
      <c r="V38" s="2"/>
      <c r="W38" s="2"/>
      <c r="X38" s="2"/>
      <c r="Y38" s="2"/>
      <c r="Z38" s="2"/>
    </row>
    <row r="39" spans="1:26" ht="40.5" customHeight="1">
      <c r="A39" s="49">
        <v>7</v>
      </c>
      <c r="B39" s="50"/>
      <c r="C39" s="50"/>
      <c r="D39" s="44"/>
      <c r="E39" s="46"/>
      <c r="F39" s="47"/>
      <c r="G39" s="52"/>
      <c r="H39" s="2"/>
      <c r="I39" s="2"/>
      <c r="J39" s="2"/>
      <c r="K39" s="2"/>
      <c r="L39" s="2"/>
      <c r="M39" s="2"/>
      <c r="N39" s="2"/>
      <c r="O39" s="2"/>
      <c r="P39" s="2"/>
      <c r="Q39" s="2"/>
      <c r="R39" s="2"/>
      <c r="S39" s="2"/>
      <c r="T39" s="2"/>
      <c r="U39" s="2"/>
      <c r="V39" s="2"/>
      <c r="W39" s="2"/>
      <c r="X39" s="2"/>
      <c r="Y39" s="2"/>
      <c r="Z39" s="2"/>
    </row>
    <row r="40" spans="1:26" ht="40.5" customHeight="1">
      <c r="A40" s="49">
        <v>8</v>
      </c>
      <c r="B40" s="50"/>
      <c r="C40" s="50"/>
      <c r="D40" s="44"/>
      <c r="E40" s="46"/>
      <c r="F40" s="47"/>
      <c r="G40" s="52"/>
      <c r="H40" s="2"/>
      <c r="I40" s="2"/>
      <c r="J40" s="2"/>
      <c r="K40" s="2"/>
      <c r="L40" s="2"/>
      <c r="M40" s="2"/>
      <c r="N40" s="2"/>
      <c r="O40" s="2"/>
      <c r="P40" s="2"/>
      <c r="Q40" s="2"/>
      <c r="R40" s="2"/>
      <c r="S40" s="2"/>
      <c r="T40" s="2"/>
      <c r="U40" s="2"/>
      <c r="V40" s="2"/>
      <c r="W40" s="2"/>
      <c r="X40" s="2"/>
      <c r="Y40" s="2"/>
      <c r="Z40" s="2"/>
    </row>
    <row r="41" spans="1:26" ht="40.5" customHeight="1">
      <c r="A41" s="49">
        <v>9</v>
      </c>
      <c r="B41" s="50"/>
      <c r="C41" s="50"/>
      <c r="D41" s="44"/>
      <c r="E41" s="46"/>
      <c r="F41" s="47"/>
      <c r="G41" s="52"/>
      <c r="H41" s="2"/>
      <c r="I41" s="2"/>
      <c r="J41" s="2"/>
      <c r="K41" s="2"/>
      <c r="L41" s="2"/>
      <c r="M41" s="2"/>
      <c r="N41" s="2"/>
      <c r="O41" s="2"/>
      <c r="P41" s="2"/>
      <c r="Q41" s="2"/>
      <c r="R41" s="2"/>
      <c r="S41" s="2"/>
      <c r="T41" s="2"/>
      <c r="U41" s="2"/>
      <c r="V41" s="2"/>
      <c r="W41" s="2"/>
      <c r="X41" s="2"/>
      <c r="Y41" s="2"/>
      <c r="Z41" s="2"/>
    </row>
    <row r="42" spans="1:26" ht="40.5" customHeight="1">
      <c r="A42" s="49">
        <v>10</v>
      </c>
      <c r="B42" s="50"/>
      <c r="C42" s="50"/>
      <c r="D42" s="44"/>
      <c r="E42" s="46"/>
      <c r="F42" s="47"/>
      <c r="G42" s="52"/>
      <c r="H42" s="2"/>
      <c r="I42" s="2"/>
      <c r="J42" s="2"/>
      <c r="K42" s="2"/>
      <c r="L42" s="2"/>
      <c r="M42" s="2"/>
      <c r="N42" s="2"/>
      <c r="O42" s="2"/>
      <c r="P42" s="2"/>
      <c r="Q42" s="2"/>
      <c r="R42" s="2"/>
      <c r="S42" s="2"/>
      <c r="T42" s="2"/>
      <c r="U42" s="2"/>
      <c r="V42" s="2"/>
      <c r="W42" s="2"/>
      <c r="X42" s="2"/>
      <c r="Y42" s="2"/>
      <c r="Z42" s="2"/>
    </row>
    <row r="43" spans="1:26" ht="40.5" customHeight="1">
      <c r="A43" s="49">
        <v>11</v>
      </c>
      <c r="B43" s="50"/>
      <c r="C43" s="50"/>
      <c r="D43" s="44"/>
      <c r="E43" s="46"/>
      <c r="F43" s="47"/>
      <c r="G43" s="52"/>
      <c r="H43" s="2"/>
      <c r="I43" s="2"/>
      <c r="J43" s="2"/>
      <c r="K43" s="2"/>
      <c r="L43" s="2"/>
      <c r="M43" s="2"/>
      <c r="N43" s="2"/>
      <c r="O43" s="2"/>
      <c r="P43" s="2"/>
      <c r="Q43" s="2"/>
      <c r="R43" s="2"/>
      <c r="S43" s="2"/>
      <c r="T43" s="2"/>
      <c r="U43" s="2"/>
      <c r="V43" s="2"/>
      <c r="W43" s="2"/>
      <c r="X43" s="2"/>
      <c r="Y43" s="2"/>
      <c r="Z43" s="2"/>
    </row>
    <row r="44" spans="1:26" ht="40.5" customHeight="1">
      <c r="A44" s="49">
        <v>12</v>
      </c>
      <c r="B44" s="50"/>
      <c r="C44" s="50"/>
      <c r="D44" s="44"/>
      <c r="E44" s="46"/>
      <c r="F44" s="47"/>
      <c r="G44" s="52"/>
      <c r="H44" s="2"/>
      <c r="I44" s="2"/>
      <c r="J44" s="2"/>
      <c r="K44" s="2"/>
      <c r="L44" s="2"/>
      <c r="M44" s="2"/>
      <c r="N44" s="2"/>
      <c r="O44" s="2"/>
      <c r="P44" s="2"/>
      <c r="Q44" s="2"/>
      <c r="R44" s="2"/>
      <c r="S44" s="2"/>
      <c r="T44" s="2"/>
      <c r="U44" s="2"/>
      <c r="V44" s="2"/>
      <c r="W44" s="2"/>
      <c r="X44" s="2"/>
      <c r="Y44" s="2"/>
      <c r="Z44" s="2"/>
    </row>
    <row r="45" spans="1:26" ht="40.5" customHeight="1">
      <c r="A45" s="49">
        <v>13</v>
      </c>
      <c r="B45" s="50"/>
      <c r="C45" s="50"/>
      <c r="D45" s="44"/>
      <c r="E45" s="46"/>
      <c r="F45" s="47"/>
      <c r="G45" s="52"/>
      <c r="H45" s="2"/>
      <c r="I45" s="2"/>
      <c r="J45" s="2"/>
      <c r="K45" s="2"/>
      <c r="L45" s="2"/>
      <c r="M45" s="2"/>
      <c r="N45" s="2"/>
      <c r="O45" s="2"/>
      <c r="P45" s="2"/>
      <c r="Q45" s="2"/>
      <c r="R45" s="2"/>
      <c r="S45" s="2"/>
      <c r="T45" s="2"/>
      <c r="U45" s="2"/>
      <c r="V45" s="2"/>
      <c r="W45" s="2"/>
      <c r="X45" s="2"/>
      <c r="Y45" s="2"/>
      <c r="Z45" s="2"/>
    </row>
    <row r="46" spans="1:26" ht="40.5" customHeight="1">
      <c r="A46" s="49">
        <v>14</v>
      </c>
      <c r="B46" s="50"/>
      <c r="C46" s="50"/>
      <c r="D46" s="44"/>
      <c r="E46" s="46"/>
      <c r="F46" s="47"/>
      <c r="G46" s="52"/>
      <c r="H46" s="2"/>
      <c r="I46" s="2"/>
      <c r="J46" s="2"/>
      <c r="K46" s="2"/>
      <c r="L46" s="2"/>
      <c r="M46" s="2"/>
      <c r="N46" s="2"/>
      <c r="O46" s="2"/>
      <c r="P46" s="2"/>
      <c r="Q46" s="2"/>
      <c r="R46" s="2"/>
      <c r="S46" s="2"/>
      <c r="T46" s="2"/>
      <c r="U46" s="2"/>
      <c r="V46" s="2"/>
      <c r="W46" s="2"/>
      <c r="X46" s="2"/>
      <c r="Y46" s="2"/>
      <c r="Z46" s="2"/>
    </row>
    <row r="47" spans="1:26" ht="40.5" customHeight="1">
      <c r="A47" s="49">
        <v>15</v>
      </c>
      <c r="B47" s="50"/>
      <c r="C47" s="50"/>
      <c r="D47" s="44"/>
      <c r="E47" s="46"/>
      <c r="F47" s="47"/>
      <c r="G47" s="52"/>
      <c r="H47" s="2"/>
      <c r="I47" s="2"/>
      <c r="J47" s="2"/>
      <c r="K47" s="2"/>
      <c r="L47" s="2"/>
      <c r="M47" s="2"/>
      <c r="N47" s="2"/>
      <c r="O47" s="2"/>
      <c r="P47" s="2"/>
      <c r="Q47" s="2"/>
      <c r="R47" s="2"/>
      <c r="S47" s="2"/>
      <c r="T47" s="2"/>
      <c r="U47" s="2"/>
      <c r="V47" s="2"/>
      <c r="W47" s="2"/>
      <c r="X47" s="2"/>
      <c r="Y47" s="2"/>
      <c r="Z47" s="2"/>
    </row>
    <row r="48" spans="1:26" ht="40.5" customHeight="1">
      <c r="A48" s="49">
        <v>16</v>
      </c>
      <c r="B48" s="50"/>
      <c r="C48" s="50"/>
      <c r="D48" s="44"/>
      <c r="E48" s="46"/>
      <c r="F48" s="47"/>
      <c r="G48" s="52"/>
      <c r="H48" s="2"/>
      <c r="I48" s="2"/>
      <c r="J48" s="2"/>
      <c r="K48" s="2"/>
      <c r="L48" s="2"/>
      <c r="M48" s="2"/>
      <c r="N48" s="2"/>
      <c r="O48" s="2"/>
      <c r="P48" s="2"/>
      <c r="Q48" s="2"/>
      <c r="R48" s="2"/>
      <c r="S48" s="2"/>
      <c r="T48" s="2"/>
      <c r="U48" s="2"/>
      <c r="V48" s="2"/>
      <c r="W48" s="2"/>
      <c r="X48" s="2"/>
      <c r="Y48" s="2"/>
      <c r="Z48" s="2"/>
    </row>
    <row r="49" spans="1:26" ht="40.5" customHeight="1">
      <c r="A49" s="49">
        <v>17</v>
      </c>
      <c r="B49" s="50"/>
      <c r="C49" s="50"/>
      <c r="D49" s="44"/>
      <c r="E49" s="46"/>
      <c r="F49" s="47"/>
      <c r="G49" s="52"/>
      <c r="H49" s="2"/>
      <c r="I49" s="2"/>
      <c r="J49" s="2"/>
      <c r="K49" s="2"/>
      <c r="L49" s="2"/>
      <c r="M49" s="2"/>
      <c r="N49" s="2"/>
      <c r="O49" s="2"/>
      <c r="P49" s="2"/>
      <c r="Q49" s="2"/>
      <c r="R49" s="2"/>
      <c r="S49" s="2"/>
      <c r="T49" s="2"/>
      <c r="U49" s="2"/>
      <c r="V49" s="2"/>
      <c r="W49" s="2"/>
      <c r="X49" s="2"/>
      <c r="Y49" s="2"/>
      <c r="Z49" s="2"/>
    </row>
    <row r="50" spans="1:26" ht="40.5" customHeight="1">
      <c r="A50" s="49">
        <v>18</v>
      </c>
      <c r="B50" s="50"/>
      <c r="C50" s="50"/>
      <c r="D50" s="44"/>
      <c r="E50" s="46"/>
      <c r="F50" s="47"/>
      <c r="G50" s="52"/>
      <c r="H50" s="2"/>
      <c r="I50" s="2"/>
      <c r="J50" s="2"/>
      <c r="K50" s="2"/>
      <c r="L50" s="2"/>
      <c r="M50" s="2"/>
      <c r="N50" s="2"/>
      <c r="O50" s="2"/>
      <c r="P50" s="2"/>
      <c r="Q50" s="2"/>
      <c r="R50" s="2"/>
      <c r="S50" s="2"/>
      <c r="T50" s="2"/>
      <c r="U50" s="2"/>
      <c r="V50" s="2"/>
      <c r="W50" s="2"/>
      <c r="X50" s="2"/>
      <c r="Y50" s="2"/>
      <c r="Z50" s="2"/>
    </row>
    <row r="51" spans="1:26" ht="40.5" customHeight="1">
      <c r="A51" s="49">
        <v>19</v>
      </c>
      <c r="B51" s="50"/>
      <c r="C51" s="50"/>
      <c r="D51" s="44"/>
      <c r="E51" s="46"/>
      <c r="F51" s="47"/>
      <c r="G51" s="52"/>
      <c r="H51" s="2"/>
      <c r="I51" s="2"/>
      <c r="J51" s="2"/>
      <c r="K51" s="2"/>
      <c r="L51" s="2"/>
      <c r="M51" s="2"/>
      <c r="N51" s="2"/>
      <c r="O51" s="2"/>
      <c r="P51" s="2"/>
      <c r="Q51" s="2"/>
      <c r="R51" s="2"/>
      <c r="S51" s="2"/>
      <c r="T51" s="2"/>
      <c r="U51" s="2"/>
      <c r="V51" s="2"/>
      <c r="W51" s="2"/>
      <c r="X51" s="2"/>
      <c r="Y51" s="2"/>
      <c r="Z51" s="2"/>
    </row>
    <row r="52" spans="1:26" ht="40.5" customHeight="1">
      <c r="A52" s="49">
        <v>20</v>
      </c>
      <c r="B52" s="50"/>
      <c r="C52" s="50"/>
      <c r="D52" s="44"/>
      <c r="E52" s="46"/>
      <c r="F52" s="47"/>
      <c r="G52" s="52"/>
      <c r="H52" s="2"/>
      <c r="I52" s="2"/>
      <c r="J52" s="2"/>
      <c r="K52" s="2"/>
      <c r="L52" s="2"/>
      <c r="M52" s="2"/>
      <c r="N52" s="2"/>
      <c r="O52" s="2"/>
      <c r="P52" s="2"/>
      <c r="Q52" s="2"/>
      <c r="R52" s="2"/>
      <c r="S52" s="2"/>
      <c r="T52" s="2"/>
      <c r="U52" s="2"/>
      <c r="V52" s="2"/>
      <c r="W52" s="2"/>
      <c r="X52" s="2"/>
      <c r="Y52" s="2"/>
      <c r="Z52" s="2"/>
    </row>
    <row r="53" spans="1:26" ht="40.5" customHeight="1">
      <c r="A53" s="49">
        <v>21</v>
      </c>
      <c r="B53" s="50"/>
      <c r="C53" s="50"/>
      <c r="D53" s="44"/>
      <c r="E53" s="46"/>
      <c r="F53" s="47"/>
      <c r="G53" s="52"/>
      <c r="H53" s="2"/>
      <c r="I53" s="2"/>
      <c r="J53" s="2"/>
      <c r="K53" s="2"/>
      <c r="L53" s="2"/>
      <c r="M53" s="2"/>
      <c r="N53" s="2"/>
      <c r="O53" s="2"/>
      <c r="P53" s="2"/>
      <c r="Q53" s="2"/>
      <c r="R53" s="2"/>
      <c r="S53" s="2"/>
      <c r="T53" s="2"/>
      <c r="U53" s="2"/>
      <c r="V53" s="2"/>
      <c r="W53" s="2"/>
      <c r="X53" s="2"/>
      <c r="Y53" s="2"/>
      <c r="Z53" s="2"/>
    </row>
    <row r="54" spans="1:26" ht="40.5" customHeight="1">
      <c r="A54" s="49">
        <v>22</v>
      </c>
      <c r="B54" s="50"/>
      <c r="C54" s="50"/>
      <c r="D54" s="44"/>
      <c r="E54" s="46"/>
      <c r="F54" s="47"/>
      <c r="G54" s="52"/>
      <c r="H54" s="2"/>
      <c r="I54" s="2"/>
      <c r="J54" s="2"/>
      <c r="K54" s="2"/>
      <c r="L54" s="2"/>
      <c r="M54" s="2"/>
      <c r="N54" s="2"/>
      <c r="O54" s="2"/>
      <c r="P54" s="2"/>
      <c r="Q54" s="2"/>
      <c r="R54" s="2"/>
      <c r="S54" s="2"/>
      <c r="T54" s="2"/>
      <c r="U54" s="2"/>
      <c r="V54" s="2"/>
      <c r="W54" s="2"/>
      <c r="X54" s="2"/>
      <c r="Y54" s="2"/>
      <c r="Z54" s="2"/>
    </row>
    <row r="55" spans="1:26" ht="40.5" customHeight="1">
      <c r="A55" s="49">
        <v>23</v>
      </c>
      <c r="B55" s="50"/>
      <c r="C55" s="50"/>
      <c r="D55" s="44"/>
      <c r="E55" s="46"/>
      <c r="F55" s="47"/>
      <c r="G55" s="52"/>
      <c r="H55" s="2"/>
      <c r="I55" s="2"/>
      <c r="J55" s="2"/>
      <c r="K55" s="2"/>
      <c r="L55" s="2"/>
      <c r="M55" s="2"/>
      <c r="N55" s="2"/>
      <c r="O55" s="2"/>
      <c r="P55" s="2"/>
      <c r="Q55" s="2"/>
      <c r="R55" s="2"/>
      <c r="S55" s="2"/>
      <c r="T55" s="2"/>
      <c r="U55" s="2"/>
      <c r="V55" s="2"/>
      <c r="W55" s="2"/>
      <c r="X55" s="2"/>
      <c r="Y55" s="2"/>
      <c r="Z55" s="2"/>
    </row>
    <row r="56" spans="1:26" ht="40.5" customHeight="1">
      <c r="A56" s="49">
        <v>24</v>
      </c>
      <c r="B56" s="50"/>
      <c r="C56" s="50"/>
      <c r="D56" s="44"/>
      <c r="E56" s="46"/>
      <c r="F56" s="47"/>
      <c r="G56" s="52"/>
      <c r="H56" s="2"/>
      <c r="I56" s="2"/>
      <c r="J56" s="2"/>
      <c r="K56" s="2"/>
      <c r="L56" s="2"/>
      <c r="M56" s="2"/>
      <c r="N56" s="2"/>
      <c r="O56" s="2"/>
      <c r="P56" s="2"/>
      <c r="Q56" s="2"/>
      <c r="R56" s="2"/>
      <c r="S56" s="2"/>
      <c r="T56" s="2"/>
      <c r="U56" s="2"/>
      <c r="V56" s="2"/>
      <c r="W56" s="2"/>
      <c r="X56" s="2"/>
      <c r="Y56" s="2"/>
      <c r="Z56" s="2"/>
    </row>
    <row r="57" spans="1:26" ht="40.5" customHeight="1">
      <c r="A57" s="49">
        <v>25</v>
      </c>
      <c r="B57" s="50"/>
      <c r="C57" s="50"/>
      <c r="D57" s="44"/>
      <c r="E57" s="46"/>
      <c r="F57" s="47"/>
      <c r="G57" s="52"/>
      <c r="H57" s="2"/>
      <c r="I57" s="2"/>
      <c r="J57" s="2"/>
      <c r="K57" s="2"/>
      <c r="L57" s="2"/>
      <c r="M57" s="2"/>
      <c r="N57" s="2"/>
      <c r="O57" s="2"/>
      <c r="P57" s="2"/>
      <c r="Q57" s="2"/>
      <c r="R57" s="2"/>
      <c r="S57" s="2"/>
      <c r="T57" s="2"/>
      <c r="U57" s="2"/>
      <c r="V57" s="2"/>
      <c r="W57" s="2"/>
      <c r="X57" s="2"/>
      <c r="Y57" s="2"/>
      <c r="Z57" s="2"/>
    </row>
    <row r="58" spans="1:26" ht="15.75" customHeight="1">
      <c r="A58" s="4"/>
      <c r="B58" s="4"/>
      <c r="C58" s="4"/>
      <c r="D58" s="4"/>
      <c r="E58" s="4"/>
      <c r="F58" s="4"/>
      <c r="G58" s="4"/>
      <c r="H58" s="2"/>
      <c r="I58" s="2"/>
      <c r="J58" s="2"/>
      <c r="K58" s="2"/>
      <c r="L58" s="2"/>
      <c r="M58" s="2"/>
      <c r="N58" s="2"/>
      <c r="O58" s="2"/>
      <c r="P58" s="2"/>
      <c r="Q58" s="2"/>
      <c r="R58" s="2"/>
      <c r="S58" s="2"/>
      <c r="T58" s="2"/>
      <c r="U58" s="2"/>
      <c r="V58" s="2"/>
      <c r="W58" s="2"/>
      <c r="X58" s="2"/>
      <c r="Y58" s="2"/>
      <c r="Z58" s="2"/>
    </row>
    <row r="59" spans="1:26" ht="15.75" customHeight="1">
      <c r="A59" s="4"/>
      <c r="B59" s="4"/>
      <c r="C59" s="3" t="s">
        <v>145</v>
      </c>
      <c r="D59" s="4"/>
      <c r="E59" s="60">
        <f>SUMPRODUCT($D$33:$D$57,$E$33:$E$57)</f>
        <v>0</v>
      </c>
      <c r="F59" s="4"/>
      <c r="G59" s="4"/>
      <c r="H59" s="2"/>
      <c r="I59" s="2"/>
      <c r="J59" s="2"/>
      <c r="K59" s="2"/>
      <c r="L59" s="2"/>
      <c r="M59" s="2"/>
      <c r="N59" s="2"/>
      <c r="O59" s="2"/>
      <c r="P59" s="2"/>
      <c r="Q59" s="2"/>
      <c r="R59" s="2"/>
      <c r="S59" s="2"/>
      <c r="T59" s="2"/>
      <c r="U59" s="2"/>
      <c r="V59" s="2"/>
      <c r="W59" s="2"/>
      <c r="X59" s="2"/>
      <c r="Y59" s="2"/>
      <c r="Z59" s="2"/>
    </row>
    <row r="60" spans="1:26" ht="15.75" customHeight="1">
      <c r="A60" s="2"/>
      <c r="B60" s="2"/>
      <c r="C60" s="2"/>
      <c r="D60" s="2"/>
      <c r="E60" s="61"/>
      <c r="F60" s="2"/>
      <c r="G60" s="2"/>
      <c r="H60" s="2"/>
      <c r="I60" s="2"/>
      <c r="J60" s="2"/>
      <c r="K60" s="2"/>
      <c r="L60" s="2"/>
      <c r="M60" s="2"/>
      <c r="N60" s="2"/>
      <c r="O60" s="2"/>
      <c r="P60" s="2"/>
      <c r="Q60" s="2"/>
      <c r="R60" s="2"/>
      <c r="S60" s="2"/>
      <c r="T60" s="2"/>
      <c r="U60" s="2"/>
      <c r="V60" s="2"/>
      <c r="W60" s="2"/>
      <c r="X60" s="2"/>
      <c r="Y60" s="2"/>
      <c r="Z60" s="2"/>
    </row>
    <row r="61" spans="1:26" ht="15.75" customHeight="1">
      <c r="A61" s="2"/>
      <c r="B61" s="2"/>
      <c r="C61" s="2"/>
      <c r="D61" s="2"/>
      <c r="E61" s="61"/>
      <c r="F61" s="2"/>
      <c r="G61" s="2"/>
      <c r="H61" s="2"/>
      <c r="I61" s="2"/>
      <c r="J61" s="2"/>
      <c r="K61" s="2"/>
      <c r="L61" s="2"/>
      <c r="M61" s="2"/>
      <c r="N61" s="2"/>
      <c r="O61" s="2"/>
      <c r="P61" s="2"/>
      <c r="Q61" s="2"/>
      <c r="R61" s="2"/>
      <c r="S61" s="2"/>
      <c r="T61" s="2"/>
      <c r="U61" s="2"/>
      <c r="V61" s="2"/>
      <c r="W61" s="2"/>
      <c r="X61" s="2"/>
      <c r="Y61" s="2"/>
      <c r="Z61" s="2"/>
    </row>
    <row r="62" spans="1:26" ht="15.75" customHeight="1">
      <c r="A62" s="2"/>
      <c r="B62" s="2"/>
      <c r="C62" s="2"/>
      <c r="D62" s="2"/>
      <c r="E62" s="61"/>
      <c r="F62" s="2"/>
      <c r="G62" s="2"/>
      <c r="H62" s="2"/>
      <c r="I62" s="2"/>
      <c r="J62" s="2"/>
      <c r="K62" s="2"/>
      <c r="L62" s="2"/>
      <c r="M62" s="2"/>
      <c r="N62" s="2"/>
      <c r="O62" s="2"/>
      <c r="P62" s="2"/>
      <c r="Q62" s="2"/>
      <c r="R62" s="2"/>
      <c r="S62" s="2"/>
      <c r="T62" s="2"/>
      <c r="U62" s="2"/>
      <c r="V62" s="2"/>
      <c r="W62" s="2"/>
      <c r="X62" s="2"/>
      <c r="Y62" s="2"/>
      <c r="Z62" s="2"/>
    </row>
    <row r="63" spans="1:26"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F1"/>
    <mergeCell ref="C13:G13"/>
    <mergeCell ref="D18:E18"/>
    <mergeCell ref="C22:G22"/>
  </mergeCells>
  <conditionalFormatting sqref="B15 B16 B17 B18 B19 B20">
    <cfRule type="expression" dxfId="23" priority="1">
      <formula>LEFT($C$6,1)="d"</formula>
    </cfRule>
  </conditionalFormatting>
  <conditionalFormatting sqref="C15">
    <cfRule type="expression" dxfId="22" priority="2">
      <formula>LEFT($C$6,1)="d"</formula>
    </cfRule>
  </conditionalFormatting>
  <conditionalFormatting sqref="B16">
    <cfRule type="expression" dxfId="21" priority="3">
      <formula>LEFT($C$6,1)="d"</formula>
    </cfRule>
  </conditionalFormatting>
  <conditionalFormatting sqref="B18:B19">
    <cfRule type="expression" dxfId="20" priority="4">
      <formula>LEFT($C$6,1)="d"</formula>
    </cfRule>
  </conditionalFormatting>
  <conditionalFormatting sqref="C18:C19">
    <cfRule type="expression" dxfId="19" priority="5">
      <formula>LEFT($C$6,1)="d"</formula>
    </cfRule>
  </conditionalFormatting>
  <conditionalFormatting sqref="B17">
    <cfRule type="expression" dxfId="18" priority="6">
      <formula>LEFT($C$6,1)="d"</formula>
    </cfRule>
  </conditionalFormatting>
  <conditionalFormatting sqref="C17">
    <cfRule type="expression" dxfId="17" priority="7">
      <formula>LEFT($C$6,1)="d"</formula>
    </cfRule>
  </conditionalFormatting>
  <conditionalFormatting sqref="D18:E18">
    <cfRule type="expression" dxfId="16" priority="8">
      <formula>$C$18="yes"</formula>
    </cfRule>
  </conditionalFormatting>
  <dataValidations count="2">
    <dataValidation type="custom" allowBlank="1" showInputMessage="1" showErrorMessage="1" prompt="wrong" sqref="E61" xr:uid="{00000000-0002-0000-0200-000001000000}">
      <formula1>AND(ISNUMBER(SEARCH(LEFT(C6,1), "ABCDEFGHIJKLNPRSVW")), ISNUMBER(MID(C6,2,LEN(C6))+0), LEN(C6)&lt;10)</formula1>
    </dataValidation>
    <dataValidation type="custom" allowBlank="1" showInputMessage="1" showErrorMessage="1" prompt="Please correct Project # to be in the format of D12345678." sqref="E60" xr:uid="{00000000-0002-0000-0200-000005000000}">
      <formula1>AND(ISNUMBER(SEARCH(LEFT(C6,1), "ABCDEFGHIJKLNPRSVW")), ISNUMBER(MID(C6,2,LEN(C6))+0), LEN(C6)=9)</formula1>
    </dataValidation>
  </dataValidations>
  <pageMargins left="0.7" right="0.7" top="0.75" bottom="0.75" header="0" footer="0"/>
  <pageSetup scale="90" orientation="portrait"/>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prompt="Please Select  - Sponsor or GTRI" xr:uid="{00000000-0002-0000-0200-000000000000}">
          <x14:formula1>
            <xm:f>Sheet3!$F$2:$F$3</xm:f>
          </x14:formula1>
          <xm:sqref>C16</xm:sqref>
        </x14:dataValidation>
        <x14:dataValidation type="list" allowBlank="1" showInputMessage="1" showErrorMessage="1" prompt="This is a simple &quot;Yes&quot; or &quot;No&quot; question." xr:uid="{00000000-0002-0000-0200-000002000000}">
          <x14:formula1>
            <xm:f>Sheet3!$E$2:$E$3</xm:f>
          </x14:formula1>
          <xm:sqref>C15 C17:C21</xm:sqref>
        </x14:dataValidation>
        <x14:dataValidation type="list" allowBlank="1" showInputMessage="1" showErrorMessage="1" prompt="Please choose from list" xr:uid="{00000000-0002-0000-0200-000003000000}">
          <x14:formula1>
            <xm:f>Sheet3!$K$2:$K$8</xm:f>
          </x14:formula1>
          <xm:sqref>E2</xm:sqref>
        </x14:dataValidation>
        <x14:dataValidation type="list" allowBlank="1" showInputMessage="1" showErrorMessage="1" prompt="Please choose from list." xr:uid="{00000000-0002-0000-0200-000004000000}">
          <x14:formula1>
            <xm:f>Sheet3!$A$2:$A$12</xm:f>
          </x14:formula1>
          <xm:sqref>C26</xm:sqref>
        </x14:dataValidation>
        <x14:dataValidation type="list" allowBlank="1" showInputMessage="1" showErrorMessage="1" prompt="Please choose from list." xr:uid="{00000000-0002-0000-0200-000006000000}">
          <x14:formula1>
            <xm:f>Sheet3!$D$2:$D$6</xm:f>
          </x14:formula1>
          <xm:sqref>C28</xm:sqref>
        </x14:dataValidation>
        <x14:dataValidation type="list" allowBlank="1" showInputMessage="1" showErrorMessage="1" prompt="Please choose from list." xr:uid="{00000000-0002-0000-0200-000007000000}">
          <x14:formula1>
            <xm:f>Sheet3!$B$2:$B$3</xm:f>
          </x14:formula1>
          <xm:sqref>C29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workbookViewId="0"/>
  </sheetViews>
  <sheetFormatPr defaultColWidth="12.625" defaultRowHeight="15" customHeight="1"/>
  <cols>
    <col min="1" max="1" width="13.875" customWidth="1"/>
    <col min="2" max="2" width="43.875" customWidth="1"/>
    <col min="3" max="3" width="34.5" customWidth="1"/>
    <col min="4" max="4" width="11.375" customWidth="1"/>
    <col min="5" max="6" width="10.875" customWidth="1"/>
    <col min="7" max="7" width="86.125" customWidth="1"/>
    <col min="8" max="26" width="8" customWidth="1"/>
  </cols>
  <sheetData>
    <row r="1" spans="1:26" ht="48.75" customHeight="1">
      <c r="A1" s="88" t="s">
        <v>146</v>
      </c>
      <c r="B1" s="89"/>
      <c r="C1" s="89"/>
      <c r="D1" s="89"/>
      <c r="E1" s="89"/>
      <c r="F1" s="90"/>
      <c r="G1" s="2" t="str">
        <f>'Under $10k'!G1</f>
        <v>Version 6.3</v>
      </c>
      <c r="H1" s="2"/>
      <c r="I1" s="2"/>
      <c r="J1" s="2"/>
      <c r="K1" s="2"/>
      <c r="L1" s="2"/>
      <c r="M1" s="2"/>
      <c r="N1" s="2"/>
      <c r="O1" s="2"/>
      <c r="P1" s="2"/>
      <c r="Q1" s="2"/>
      <c r="R1" s="2"/>
      <c r="S1" s="2"/>
      <c r="T1" s="2"/>
      <c r="U1" s="2"/>
      <c r="V1" s="2"/>
      <c r="W1" s="2"/>
      <c r="X1" s="2"/>
      <c r="Y1" s="2"/>
      <c r="Z1" s="2"/>
    </row>
    <row r="2" spans="1:26" ht="65.25" customHeight="1">
      <c r="A2" s="3" t="s">
        <v>6</v>
      </c>
      <c r="B2" s="4" t="s">
        <v>8</v>
      </c>
      <c r="C2" s="5"/>
      <c r="D2" s="6" t="s">
        <v>9</v>
      </c>
      <c r="E2" s="8"/>
      <c r="F2" s="9" t="s">
        <v>13</v>
      </c>
      <c r="G2" s="10"/>
      <c r="H2" s="2"/>
      <c r="I2" s="2"/>
      <c r="J2" s="2"/>
      <c r="K2" s="2"/>
      <c r="L2" s="2"/>
      <c r="M2" s="2"/>
      <c r="N2" s="2"/>
      <c r="O2" s="2"/>
      <c r="P2" s="2"/>
      <c r="Q2" s="2"/>
      <c r="R2" s="2"/>
      <c r="S2" s="2"/>
      <c r="T2" s="2"/>
      <c r="U2" s="2"/>
      <c r="V2" s="2"/>
      <c r="W2" s="2"/>
      <c r="X2" s="2"/>
      <c r="Y2" s="2"/>
      <c r="Z2" s="2"/>
    </row>
    <row r="3" spans="1:26" ht="15.75">
      <c r="A3" s="3"/>
      <c r="B3" s="4" t="s">
        <v>16</v>
      </c>
      <c r="C3" s="12"/>
      <c r="D3" s="3"/>
      <c r="E3" s="4"/>
      <c r="F3" s="4"/>
      <c r="G3" s="4"/>
      <c r="H3" s="2"/>
      <c r="I3" s="2"/>
      <c r="J3" s="2"/>
      <c r="K3" s="2"/>
      <c r="L3" s="2"/>
      <c r="M3" s="2"/>
      <c r="N3" s="2"/>
      <c r="O3" s="2"/>
      <c r="P3" s="2"/>
      <c r="Q3" s="2"/>
      <c r="R3" s="2"/>
      <c r="S3" s="2"/>
      <c r="T3" s="2"/>
      <c r="U3" s="2"/>
      <c r="V3" s="2"/>
      <c r="W3" s="2"/>
      <c r="X3" s="2"/>
      <c r="Y3" s="2"/>
      <c r="Z3" s="2"/>
    </row>
    <row r="4" spans="1:26" ht="15.75">
      <c r="A4" s="3"/>
      <c r="B4" s="4" t="s">
        <v>19</v>
      </c>
      <c r="C4" s="14"/>
      <c r="D4" s="3"/>
      <c r="E4" s="4"/>
      <c r="F4" s="4"/>
      <c r="G4" s="4"/>
      <c r="H4" s="2"/>
      <c r="I4" s="2"/>
      <c r="J4" s="2"/>
      <c r="K4" s="2"/>
      <c r="L4" s="2"/>
      <c r="M4" s="2"/>
      <c r="N4" s="2"/>
      <c r="O4" s="2"/>
      <c r="P4" s="2"/>
      <c r="Q4" s="2"/>
      <c r="R4" s="2"/>
      <c r="S4" s="2"/>
      <c r="T4" s="2"/>
      <c r="U4" s="2"/>
      <c r="V4" s="2"/>
      <c r="W4" s="2"/>
      <c r="X4" s="2"/>
      <c r="Y4" s="2"/>
      <c r="Z4" s="2"/>
    </row>
    <row r="5" spans="1:26" ht="15.75">
      <c r="A5" s="3"/>
      <c r="B5" s="4"/>
      <c r="C5" s="16"/>
      <c r="D5" s="3"/>
      <c r="E5" s="4"/>
      <c r="F5" s="4"/>
      <c r="G5" s="4"/>
      <c r="H5" s="2"/>
      <c r="I5" s="2"/>
      <c r="J5" s="2"/>
      <c r="K5" s="2"/>
      <c r="L5" s="2"/>
      <c r="M5" s="2"/>
      <c r="N5" s="2"/>
      <c r="O5" s="2"/>
      <c r="P5" s="2"/>
      <c r="Q5" s="2"/>
      <c r="R5" s="2"/>
      <c r="S5" s="2"/>
      <c r="T5" s="2"/>
      <c r="U5" s="2"/>
      <c r="V5" s="2"/>
      <c r="W5" s="2"/>
      <c r="X5" s="2"/>
      <c r="Y5" s="2"/>
      <c r="Z5" s="2"/>
    </row>
    <row r="6" spans="1:26" ht="15.75">
      <c r="A6" s="3" t="s">
        <v>22</v>
      </c>
      <c r="B6" s="4" t="s">
        <v>147</v>
      </c>
      <c r="C6" s="8"/>
      <c r="D6" s="4"/>
      <c r="E6" s="4"/>
      <c r="F6" s="4"/>
      <c r="G6" s="4"/>
      <c r="H6" s="2"/>
      <c r="I6" s="2"/>
      <c r="J6" s="2"/>
      <c r="K6" s="2"/>
      <c r="L6" s="2"/>
      <c r="M6" s="2"/>
      <c r="N6" s="2"/>
      <c r="O6" s="2"/>
      <c r="P6" s="2"/>
      <c r="Q6" s="2"/>
      <c r="R6" s="2"/>
      <c r="S6" s="2"/>
      <c r="T6" s="2"/>
      <c r="U6" s="2"/>
      <c r="V6" s="2"/>
      <c r="W6" s="2"/>
      <c r="X6" s="2"/>
      <c r="Y6" s="2"/>
      <c r="Z6" s="2"/>
    </row>
    <row r="7" spans="1:26" ht="15.75">
      <c r="A7" s="4"/>
      <c r="B7" s="4" t="s">
        <v>148</v>
      </c>
      <c r="C7" s="18"/>
      <c r="D7" s="4"/>
      <c r="E7" s="4"/>
      <c r="F7" s="4"/>
      <c r="G7" s="4"/>
      <c r="H7" s="2"/>
      <c r="I7" s="2"/>
      <c r="J7" s="2"/>
      <c r="K7" s="2"/>
      <c r="L7" s="2"/>
      <c r="M7" s="2"/>
      <c r="N7" s="2"/>
      <c r="O7" s="2"/>
      <c r="P7" s="2"/>
      <c r="Q7" s="2"/>
      <c r="R7" s="2"/>
      <c r="S7" s="2"/>
      <c r="T7" s="2"/>
      <c r="U7" s="2"/>
      <c r="V7" s="2"/>
      <c r="W7" s="2"/>
      <c r="X7" s="2"/>
      <c r="Y7" s="2"/>
      <c r="Z7" s="2"/>
    </row>
    <row r="8" spans="1:26" ht="15.75">
      <c r="A8" s="4"/>
      <c r="B8" s="4" t="s">
        <v>149</v>
      </c>
      <c r="C8" s="8"/>
      <c r="D8" s="4"/>
      <c r="E8" s="4"/>
      <c r="F8" s="4"/>
      <c r="G8" s="4"/>
      <c r="H8" s="2"/>
      <c r="I8" s="2"/>
      <c r="J8" s="2"/>
      <c r="K8" s="2"/>
      <c r="L8" s="2"/>
      <c r="M8" s="2"/>
      <c r="N8" s="2"/>
      <c r="O8" s="2"/>
      <c r="P8" s="2"/>
      <c r="Q8" s="2"/>
      <c r="R8" s="2"/>
      <c r="S8" s="2"/>
      <c r="T8" s="2"/>
      <c r="U8" s="2"/>
      <c r="V8" s="2"/>
      <c r="W8" s="2"/>
      <c r="X8" s="2"/>
      <c r="Y8" s="2"/>
      <c r="Z8" s="2"/>
    </row>
    <row r="9" spans="1:26" ht="15.75">
      <c r="A9" s="4"/>
      <c r="B9" s="4"/>
      <c r="C9" s="4"/>
      <c r="D9" s="4"/>
      <c r="E9" s="4"/>
      <c r="F9" s="4"/>
      <c r="G9" s="4"/>
      <c r="H9" s="2"/>
      <c r="I9" s="2"/>
      <c r="J9" s="2"/>
      <c r="K9" s="2"/>
      <c r="L9" s="2"/>
      <c r="M9" s="2"/>
      <c r="N9" s="2"/>
      <c r="O9" s="2"/>
      <c r="P9" s="2"/>
      <c r="Q9" s="2"/>
      <c r="R9" s="2"/>
      <c r="S9" s="2"/>
      <c r="T9" s="2"/>
      <c r="U9" s="2"/>
      <c r="V9" s="2"/>
      <c r="W9" s="2"/>
      <c r="X9" s="2"/>
      <c r="Y9" s="2"/>
      <c r="Z9" s="2"/>
    </row>
    <row r="10" spans="1:26" ht="63">
      <c r="A10" s="62" t="s">
        <v>33</v>
      </c>
      <c r="B10" s="63" t="s">
        <v>150</v>
      </c>
      <c r="C10" s="91"/>
      <c r="D10" s="92"/>
      <c r="E10" s="92"/>
      <c r="F10" s="92"/>
      <c r="G10" s="93"/>
      <c r="H10" s="2"/>
      <c r="I10" s="2"/>
      <c r="J10" s="2"/>
      <c r="K10" s="2"/>
      <c r="L10" s="2"/>
      <c r="M10" s="2"/>
      <c r="N10" s="2"/>
      <c r="O10" s="2"/>
      <c r="P10" s="2"/>
      <c r="Q10" s="2"/>
      <c r="R10" s="2"/>
      <c r="S10" s="2"/>
      <c r="T10" s="2"/>
      <c r="U10" s="2"/>
      <c r="V10" s="2"/>
      <c r="W10" s="2"/>
      <c r="X10" s="2"/>
      <c r="Y10" s="2"/>
      <c r="Z10" s="2"/>
    </row>
    <row r="11" spans="1:26" ht="15.75">
      <c r="A11" s="62"/>
      <c r="B11" s="63"/>
      <c r="C11" s="28"/>
      <c r="D11" s="28"/>
      <c r="E11" s="28"/>
      <c r="F11" s="28"/>
      <c r="G11" s="28"/>
      <c r="H11" s="2"/>
      <c r="I11" s="2"/>
      <c r="J11" s="2"/>
      <c r="K11" s="2"/>
      <c r="L11" s="2"/>
      <c r="M11" s="2"/>
      <c r="N11" s="2"/>
      <c r="O11" s="2"/>
      <c r="P11" s="2"/>
      <c r="Q11" s="2"/>
      <c r="R11" s="2"/>
      <c r="S11" s="2"/>
      <c r="T11" s="2"/>
      <c r="U11" s="2"/>
      <c r="V11" s="2"/>
      <c r="W11" s="2"/>
      <c r="X11" s="2"/>
      <c r="Y11" s="2"/>
      <c r="Z11" s="2"/>
    </row>
    <row r="12" spans="1:26" ht="15.75">
      <c r="A12" s="3" t="s">
        <v>37</v>
      </c>
      <c r="B12" s="4"/>
      <c r="C12" s="4"/>
      <c r="D12" s="4"/>
      <c r="E12" s="4"/>
      <c r="F12" s="4"/>
      <c r="G12" s="2"/>
      <c r="H12" s="2"/>
      <c r="I12" s="2"/>
      <c r="J12" s="2"/>
      <c r="K12" s="2"/>
      <c r="L12" s="2"/>
      <c r="M12" s="2"/>
      <c r="N12" s="2"/>
      <c r="O12" s="2"/>
      <c r="P12" s="2"/>
      <c r="Q12" s="2"/>
      <c r="R12" s="2"/>
      <c r="S12" s="2"/>
      <c r="T12" s="2"/>
      <c r="U12" s="2"/>
      <c r="V12" s="2"/>
      <c r="W12" s="2"/>
      <c r="X12" s="2"/>
      <c r="Y12" s="2"/>
      <c r="Z12" s="2"/>
    </row>
    <row r="13" spans="1:26" ht="15.75">
      <c r="A13" s="3"/>
      <c r="B13" s="4" t="s">
        <v>151</v>
      </c>
      <c r="C13" s="5"/>
      <c r="D13" s="4"/>
      <c r="E13" s="4"/>
      <c r="F13" s="4"/>
      <c r="G13" s="2"/>
      <c r="H13" s="2"/>
      <c r="I13" s="2"/>
      <c r="J13" s="2"/>
      <c r="K13" s="2"/>
      <c r="L13" s="2"/>
      <c r="M13" s="2"/>
      <c r="N13" s="2"/>
      <c r="O13" s="2"/>
      <c r="P13" s="2"/>
      <c r="Q13" s="2"/>
      <c r="R13" s="2"/>
      <c r="S13" s="2"/>
      <c r="T13" s="2"/>
      <c r="U13" s="2"/>
      <c r="V13" s="2"/>
      <c r="W13" s="2"/>
      <c r="X13" s="2"/>
      <c r="Y13" s="2"/>
      <c r="Z13" s="2"/>
    </row>
    <row r="14" spans="1:26" ht="15.75">
      <c r="A14" s="3"/>
      <c r="B14" s="4" t="s">
        <v>152</v>
      </c>
      <c r="C14" s="5"/>
      <c r="D14" s="4"/>
      <c r="E14" s="4"/>
      <c r="F14" s="4"/>
      <c r="G14" s="2"/>
      <c r="H14" s="2"/>
      <c r="I14" s="2"/>
      <c r="J14" s="2"/>
      <c r="K14" s="2"/>
      <c r="L14" s="2"/>
      <c r="M14" s="2"/>
      <c r="N14" s="2"/>
      <c r="O14" s="2"/>
      <c r="P14" s="2"/>
      <c r="Q14" s="2"/>
      <c r="R14" s="2"/>
      <c r="S14" s="2"/>
      <c r="T14" s="2"/>
      <c r="U14" s="2"/>
      <c r="V14" s="2"/>
      <c r="W14" s="2"/>
      <c r="X14" s="2"/>
      <c r="Y14" s="2"/>
      <c r="Z14" s="2"/>
    </row>
    <row r="15" spans="1:26" ht="15.75">
      <c r="A15" s="3"/>
      <c r="B15" s="4" t="s">
        <v>153</v>
      </c>
      <c r="C15" s="64"/>
      <c r="D15" s="4"/>
      <c r="E15" s="4"/>
      <c r="F15" s="4"/>
      <c r="G15" s="2"/>
      <c r="H15" s="2"/>
      <c r="I15" s="2"/>
      <c r="J15" s="2"/>
      <c r="K15" s="2"/>
      <c r="L15" s="2"/>
      <c r="M15" s="2"/>
      <c r="N15" s="2"/>
      <c r="O15" s="2"/>
      <c r="P15" s="2"/>
      <c r="Q15" s="2"/>
      <c r="R15" s="2"/>
      <c r="S15" s="2"/>
      <c r="T15" s="2"/>
      <c r="U15" s="2"/>
      <c r="V15" s="2"/>
      <c r="W15" s="2"/>
      <c r="X15" s="2"/>
      <c r="Y15" s="2"/>
      <c r="Z15" s="2"/>
    </row>
    <row r="16" spans="1:26" ht="15.75">
      <c r="A16" s="3"/>
      <c r="B16" s="4" t="s">
        <v>89</v>
      </c>
      <c r="C16" s="5"/>
      <c r="D16" s="4"/>
      <c r="E16" s="4"/>
      <c r="F16" s="4"/>
      <c r="G16" s="2"/>
      <c r="H16" s="2"/>
      <c r="I16" s="2"/>
      <c r="J16" s="2"/>
      <c r="K16" s="2"/>
      <c r="L16" s="2"/>
      <c r="M16" s="2"/>
      <c r="N16" s="2"/>
      <c r="O16" s="2"/>
      <c r="P16" s="2"/>
      <c r="Q16" s="2"/>
      <c r="R16" s="2"/>
      <c r="S16" s="2"/>
      <c r="T16" s="2"/>
      <c r="U16" s="2"/>
      <c r="V16" s="2"/>
      <c r="W16" s="2"/>
      <c r="X16" s="2"/>
      <c r="Y16" s="2"/>
      <c r="Z16" s="2"/>
    </row>
    <row r="17" spans="1:26" ht="15.75">
      <c r="A17" s="3"/>
      <c r="B17" s="4"/>
      <c r="C17" s="16"/>
      <c r="D17" s="4"/>
      <c r="E17" s="4"/>
      <c r="F17" s="4"/>
      <c r="G17" s="2"/>
      <c r="H17" s="2"/>
      <c r="I17" s="2"/>
      <c r="J17" s="2"/>
      <c r="K17" s="2"/>
      <c r="L17" s="2"/>
      <c r="M17" s="2"/>
      <c r="N17" s="2"/>
      <c r="O17" s="2"/>
      <c r="P17" s="2"/>
      <c r="Q17" s="2"/>
      <c r="R17" s="2"/>
      <c r="S17" s="2"/>
      <c r="T17" s="2"/>
      <c r="U17" s="2"/>
      <c r="V17" s="2"/>
      <c r="W17" s="2"/>
      <c r="X17" s="2"/>
      <c r="Y17" s="2"/>
      <c r="Z17" s="2"/>
    </row>
    <row r="18" spans="1:26" ht="47.25">
      <c r="A18" s="3"/>
      <c r="B18" s="25" t="str">
        <f>"Are these products going to be used exclusively on this project ("&amp;LEFT(C6,5)&amp;") as property of the sponsor unless sponsor has authorized us to retain them?"</f>
        <v>Are these products going to be used exclusively on this project () as property of the sponsor unless sponsor has authorized us to retain them?</v>
      </c>
      <c r="C18" s="16"/>
      <c r="D18" s="4"/>
      <c r="E18" s="4"/>
      <c r="F18" s="4"/>
      <c r="G18" s="2"/>
      <c r="H18" s="2"/>
      <c r="I18" s="2"/>
      <c r="J18" s="2"/>
      <c r="K18" s="2"/>
      <c r="L18" s="2"/>
      <c r="M18" s="2"/>
      <c r="N18" s="2"/>
      <c r="O18" s="2"/>
      <c r="P18" s="2"/>
      <c r="Q18" s="2"/>
      <c r="R18" s="2"/>
      <c r="S18" s="2"/>
      <c r="T18" s="2"/>
      <c r="U18" s="2"/>
      <c r="V18" s="2"/>
      <c r="W18" s="2"/>
      <c r="X18" s="2"/>
      <c r="Y18" s="2"/>
      <c r="Z18" s="2"/>
    </row>
    <row r="19" spans="1:26" ht="31.5">
      <c r="A19" s="3"/>
      <c r="B19" s="25" t="s">
        <v>50</v>
      </c>
      <c r="C19" s="26"/>
      <c r="D19" s="28"/>
      <c r="E19" s="28"/>
      <c r="F19" s="28"/>
      <c r="G19" s="2"/>
      <c r="H19" s="2"/>
      <c r="I19" s="2"/>
      <c r="J19" s="2"/>
      <c r="K19" s="2"/>
      <c r="L19" s="2"/>
      <c r="M19" s="2"/>
      <c r="N19" s="2"/>
      <c r="O19" s="2"/>
      <c r="P19" s="2"/>
      <c r="Q19" s="2"/>
      <c r="R19" s="2"/>
      <c r="S19" s="2"/>
      <c r="T19" s="2"/>
      <c r="U19" s="2"/>
      <c r="V19" s="2"/>
      <c r="W19" s="2"/>
      <c r="X19" s="2"/>
      <c r="Y19" s="2"/>
      <c r="Z19" s="2"/>
    </row>
    <row r="20" spans="1:26" ht="31.5">
      <c r="A20" s="3"/>
      <c r="B20" s="25" t="s">
        <v>53</v>
      </c>
      <c r="C20" s="28"/>
      <c r="D20" s="4"/>
      <c r="E20" s="4"/>
      <c r="F20" s="4"/>
      <c r="G20" s="4"/>
      <c r="H20" s="2"/>
      <c r="I20" s="2"/>
      <c r="J20" s="2"/>
      <c r="K20" s="2"/>
      <c r="L20" s="2"/>
      <c r="M20" s="2"/>
      <c r="N20" s="2"/>
      <c r="O20" s="2"/>
      <c r="P20" s="2"/>
      <c r="Q20" s="2"/>
      <c r="R20" s="2"/>
      <c r="S20" s="2"/>
      <c r="T20" s="2"/>
      <c r="U20" s="2"/>
      <c r="V20" s="2"/>
      <c r="W20" s="2"/>
      <c r="X20" s="2"/>
      <c r="Y20" s="2"/>
      <c r="Z20" s="2"/>
    </row>
    <row r="21" spans="1:26" ht="15.75" customHeight="1">
      <c r="A21" s="3"/>
      <c r="B21" s="25" t="s">
        <v>55</v>
      </c>
      <c r="C21" s="28"/>
      <c r="D21" s="94" t="s">
        <v>56</v>
      </c>
      <c r="E21" s="85"/>
      <c r="F21" s="8"/>
      <c r="G21" s="4"/>
      <c r="H21" s="2"/>
      <c r="I21" s="2"/>
      <c r="J21" s="2"/>
      <c r="K21" s="2"/>
      <c r="L21" s="2"/>
      <c r="M21" s="2"/>
      <c r="N21" s="2"/>
      <c r="O21" s="2"/>
      <c r="P21" s="2"/>
      <c r="Q21" s="2"/>
      <c r="R21" s="2"/>
      <c r="S21" s="2"/>
      <c r="T21" s="2"/>
      <c r="U21" s="2"/>
      <c r="V21" s="2"/>
      <c r="W21" s="2"/>
      <c r="X21" s="2"/>
      <c r="Y21" s="2"/>
      <c r="Z21" s="2"/>
    </row>
    <row r="22" spans="1:26" ht="15.75" customHeight="1">
      <c r="A22" s="3"/>
      <c r="B22" s="25" t="s">
        <v>58</v>
      </c>
      <c r="C22" s="28"/>
      <c r="D22" s="31"/>
      <c r="E22" s="31"/>
      <c r="F22" s="31"/>
      <c r="G22" s="2"/>
      <c r="H22" s="2"/>
      <c r="I22" s="2"/>
      <c r="J22" s="2"/>
      <c r="K22" s="2"/>
      <c r="L22" s="2"/>
      <c r="M22" s="2"/>
      <c r="N22" s="2"/>
      <c r="O22" s="2"/>
      <c r="P22" s="2"/>
      <c r="Q22" s="2"/>
      <c r="R22" s="2"/>
      <c r="S22" s="2"/>
      <c r="T22" s="2"/>
      <c r="U22" s="2"/>
      <c r="V22" s="2"/>
      <c r="W22" s="2"/>
      <c r="X22" s="2"/>
      <c r="Y22" s="2"/>
      <c r="Z22" s="2"/>
    </row>
    <row r="23" spans="1:26" ht="15.75" customHeight="1">
      <c r="A23" s="3"/>
      <c r="B23" s="22" t="s">
        <v>59</v>
      </c>
      <c r="C23" s="5"/>
      <c r="D23" s="4"/>
      <c r="E23" s="4"/>
      <c r="F23" s="4"/>
      <c r="G23" s="2"/>
      <c r="H23" s="2"/>
      <c r="I23" s="2"/>
      <c r="J23" s="2"/>
      <c r="K23" s="2"/>
      <c r="L23" s="2"/>
      <c r="M23" s="2"/>
      <c r="N23" s="2"/>
      <c r="O23" s="2"/>
      <c r="P23" s="2"/>
      <c r="Q23" s="2"/>
      <c r="R23" s="2"/>
      <c r="S23" s="2"/>
      <c r="T23" s="2"/>
      <c r="U23" s="2"/>
      <c r="V23" s="2"/>
      <c r="W23" s="2"/>
      <c r="X23" s="2"/>
      <c r="Y23" s="2"/>
      <c r="Z23" s="2"/>
    </row>
    <row r="24" spans="1:26" ht="15.75" customHeight="1">
      <c r="A24" s="3"/>
      <c r="B24" s="22"/>
      <c r="C24" s="16"/>
      <c r="D24" s="4"/>
      <c r="E24" s="4"/>
      <c r="F24" s="4"/>
      <c r="G24" s="2"/>
      <c r="H24" s="2"/>
      <c r="I24" s="2"/>
      <c r="J24" s="2"/>
      <c r="K24" s="2"/>
      <c r="L24" s="2"/>
      <c r="M24" s="2"/>
      <c r="N24" s="2"/>
      <c r="O24" s="2"/>
      <c r="P24" s="2"/>
      <c r="Q24" s="2"/>
      <c r="R24" s="2"/>
      <c r="S24" s="2"/>
      <c r="T24" s="2"/>
      <c r="U24" s="2"/>
      <c r="V24" s="2"/>
      <c r="W24" s="2"/>
      <c r="X24" s="2"/>
      <c r="Y24" s="2"/>
      <c r="Z24" s="2"/>
    </row>
    <row r="25" spans="1:26" ht="15.75" customHeight="1">
      <c r="A25" s="3"/>
      <c r="B25" s="65" t="s">
        <v>154</v>
      </c>
      <c r="C25" s="16"/>
      <c r="D25" s="4"/>
      <c r="E25" s="4"/>
      <c r="F25" s="4"/>
      <c r="G25" s="2"/>
      <c r="H25" s="2"/>
      <c r="I25" s="2"/>
      <c r="J25" s="2"/>
      <c r="K25" s="2"/>
      <c r="L25" s="2"/>
      <c r="M25" s="2"/>
      <c r="N25" s="2"/>
      <c r="O25" s="2"/>
      <c r="P25" s="2"/>
      <c r="Q25" s="2"/>
      <c r="R25" s="2"/>
      <c r="S25" s="2"/>
      <c r="T25" s="2"/>
      <c r="U25" s="2"/>
      <c r="V25" s="2"/>
      <c r="W25" s="2"/>
      <c r="X25" s="2"/>
      <c r="Y25" s="2"/>
      <c r="Z25" s="2"/>
    </row>
    <row r="26" spans="1:26" ht="15.75" customHeight="1">
      <c r="A26" s="4"/>
      <c r="B26" s="4"/>
      <c r="C26" s="16"/>
      <c r="D26" s="4"/>
      <c r="E26" s="4"/>
      <c r="F26" s="4"/>
      <c r="G26" s="4"/>
      <c r="H26" s="2"/>
      <c r="I26" s="2"/>
      <c r="J26" s="2"/>
      <c r="K26" s="2"/>
      <c r="L26" s="2"/>
      <c r="M26" s="2"/>
      <c r="N26" s="2"/>
      <c r="O26" s="2"/>
      <c r="P26" s="2"/>
      <c r="Q26" s="2"/>
      <c r="R26" s="2"/>
      <c r="S26" s="2"/>
      <c r="T26" s="2"/>
      <c r="U26" s="2"/>
      <c r="V26" s="2"/>
      <c r="W26" s="2"/>
      <c r="X26" s="2"/>
      <c r="Y26" s="2"/>
      <c r="Z26" s="2"/>
    </row>
    <row r="27" spans="1:26" ht="15.75" customHeight="1">
      <c r="A27" s="3" t="s">
        <v>69</v>
      </c>
      <c r="B27" s="4" t="s">
        <v>70</v>
      </c>
      <c r="C27" s="5"/>
      <c r="D27" s="4"/>
      <c r="E27" s="4"/>
      <c r="F27" s="4"/>
      <c r="G27" s="4"/>
      <c r="H27" s="2"/>
      <c r="I27" s="2"/>
      <c r="J27" s="2"/>
      <c r="K27" s="2"/>
      <c r="L27" s="2"/>
      <c r="M27" s="2"/>
      <c r="N27" s="2"/>
      <c r="O27" s="2"/>
      <c r="P27" s="2"/>
      <c r="Q27" s="2"/>
      <c r="R27" s="2"/>
      <c r="S27" s="2"/>
      <c r="T27" s="2"/>
      <c r="U27" s="2"/>
      <c r="V27" s="2"/>
      <c r="W27" s="2"/>
      <c r="X27" s="2"/>
      <c r="Y27" s="2"/>
      <c r="Z27" s="2"/>
    </row>
    <row r="28" spans="1:26" ht="15.75" customHeight="1">
      <c r="A28" s="4"/>
      <c r="B28" s="4" t="s">
        <v>72</v>
      </c>
      <c r="C28" s="35"/>
      <c r="D28" s="4"/>
      <c r="E28" s="4"/>
      <c r="F28" s="4"/>
      <c r="G28" s="4"/>
      <c r="H28" s="2"/>
      <c r="I28" s="2"/>
      <c r="J28" s="2"/>
      <c r="K28" s="2"/>
      <c r="L28" s="2"/>
      <c r="M28" s="2"/>
      <c r="N28" s="2"/>
      <c r="O28" s="2"/>
      <c r="P28" s="2"/>
      <c r="Q28" s="2"/>
      <c r="R28" s="2"/>
      <c r="S28" s="2"/>
      <c r="T28" s="2"/>
      <c r="U28" s="2"/>
      <c r="V28" s="2"/>
      <c r="W28" s="2"/>
      <c r="X28" s="2"/>
      <c r="Y28" s="2"/>
      <c r="Z28" s="2"/>
    </row>
    <row r="29" spans="1:26" ht="15.75" customHeight="1">
      <c r="A29" s="4"/>
      <c r="B29" s="22" t="s">
        <v>74</v>
      </c>
      <c r="C29" s="36"/>
      <c r="D29" s="4"/>
      <c r="E29" s="4"/>
      <c r="F29" s="4"/>
      <c r="G29" s="4"/>
      <c r="H29" s="2"/>
      <c r="I29" s="2"/>
      <c r="J29" s="2"/>
      <c r="K29" s="2"/>
      <c r="L29" s="2"/>
      <c r="M29" s="2"/>
      <c r="N29" s="2"/>
      <c r="O29" s="2"/>
      <c r="P29" s="2"/>
      <c r="Q29" s="2"/>
      <c r="R29" s="2"/>
      <c r="S29" s="2"/>
      <c r="T29" s="2"/>
      <c r="U29" s="2"/>
      <c r="V29" s="2"/>
      <c r="W29" s="2"/>
      <c r="X29" s="2"/>
      <c r="Y29" s="2"/>
      <c r="Z29" s="2"/>
    </row>
    <row r="30" spans="1:26" ht="15.75" customHeight="1">
      <c r="A30" s="4"/>
      <c r="B30" s="22" t="s">
        <v>155</v>
      </c>
      <c r="C30" s="21"/>
      <c r="D30" s="4"/>
      <c r="E30" s="4"/>
      <c r="F30" s="4"/>
      <c r="G30" s="4"/>
      <c r="H30" s="2"/>
      <c r="I30" s="2"/>
      <c r="J30" s="2"/>
      <c r="K30" s="2"/>
      <c r="L30" s="2"/>
      <c r="M30" s="2"/>
      <c r="N30" s="2"/>
      <c r="O30" s="2"/>
      <c r="P30" s="2"/>
      <c r="Q30" s="2"/>
      <c r="R30" s="2"/>
      <c r="S30" s="2"/>
      <c r="T30" s="2"/>
      <c r="U30" s="2"/>
      <c r="V30" s="2"/>
      <c r="W30" s="2"/>
      <c r="X30" s="2"/>
      <c r="Y30" s="2"/>
      <c r="Z30" s="2"/>
    </row>
    <row r="31" spans="1:26" ht="15.75" customHeight="1">
      <c r="A31" s="2"/>
      <c r="B31" s="2"/>
      <c r="C31" s="2"/>
      <c r="D31" s="2"/>
      <c r="E31" s="61"/>
      <c r="F31" s="2"/>
      <c r="G31" s="2"/>
      <c r="H31" s="2"/>
      <c r="I31" s="2"/>
      <c r="J31" s="2"/>
      <c r="K31" s="2"/>
      <c r="L31" s="2"/>
      <c r="M31" s="2"/>
      <c r="N31" s="2"/>
      <c r="O31" s="2"/>
      <c r="P31" s="2"/>
      <c r="Q31" s="2"/>
      <c r="R31" s="2"/>
      <c r="S31" s="2"/>
      <c r="T31" s="2"/>
      <c r="U31" s="2"/>
      <c r="V31" s="2"/>
      <c r="W31" s="2"/>
      <c r="X31" s="2"/>
      <c r="Y31" s="2"/>
      <c r="Z31" s="2"/>
    </row>
    <row r="32" spans="1:26" ht="15.75" customHeight="1">
      <c r="A32" s="2"/>
      <c r="B32" s="2"/>
      <c r="C32" s="2"/>
      <c r="D32" s="2"/>
      <c r="E32" s="61"/>
      <c r="F32" s="2"/>
      <c r="G32" s="2"/>
      <c r="H32" s="2"/>
      <c r="I32" s="2"/>
      <c r="J32" s="2"/>
      <c r="K32" s="2"/>
      <c r="L32" s="2"/>
      <c r="M32" s="2"/>
      <c r="N32" s="2"/>
      <c r="O32" s="2"/>
      <c r="P32" s="2"/>
      <c r="Q32" s="2"/>
      <c r="R32" s="2"/>
      <c r="S32" s="2"/>
      <c r="T32" s="2"/>
      <c r="U32" s="2"/>
      <c r="V32" s="2"/>
      <c r="W32" s="2"/>
      <c r="X32" s="2"/>
      <c r="Y32" s="2"/>
      <c r="Z32" s="2"/>
    </row>
    <row r="33" spans="1:26" ht="15.75" customHeight="1">
      <c r="A33" s="2"/>
      <c r="B33" s="2"/>
      <c r="C33" s="2"/>
      <c r="D33" s="2"/>
      <c r="E33" s="61"/>
      <c r="F33" s="2"/>
      <c r="G33" s="2"/>
      <c r="H33" s="2"/>
      <c r="I33" s="2"/>
      <c r="J33" s="2"/>
      <c r="K33" s="2"/>
      <c r="L33" s="2"/>
      <c r="M33" s="2"/>
      <c r="N33" s="2"/>
      <c r="O33" s="2"/>
      <c r="P33" s="2"/>
      <c r="Q33" s="2"/>
      <c r="R33" s="2"/>
      <c r="S33" s="2"/>
      <c r="T33" s="2"/>
      <c r="U33" s="2"/>
      <c r="V33" s="2"/>
      <c r="W33" s="2"/>
      <c r="X33" s="2"/>
      <c r="Y33" s="2"/>
      <c r="Z33" s="2"/>
    </row>
    <row r="34" spans="1:26"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3">
    <mergeCell ref="A1:F1"/>
    <mergeCell ref="C10:G10"/>
    <mergeCell ref="D21:E21"/>
  </mergeCells>
  <conditionalFormatting sqref="B19">
    <cfRule type="expression" dxfId="15" priority="1">
      <formula>LEFT($C$6,1)="d"</formula>
    </cfRule>
  </conditionalFormatting>
  <conditionalFormatting sqref="B18">
    <cfRule type="expression" dxfId="14" priority="2">
      <formula>LEFT($C$6,1)="d"</formula>
    </cfRule>
  </conditionalFormatting>
  <conditionalFormatting sqref="C18">
    <cfRule type="expression" dxfId="13" priority="3">
      <formula>LEFT($C$6,1)="d"</formula>
    </cfRule>
  </conditionalFormatting>
  <conditionalFormatting sqref="B21:B22">
    <cfRule type="expression" dxfId="12" priority="4">
      <formula>LEFT($C$6,1)="d"</formula>
    </cfRule>
  </conditionalFormatting>
  <conditionalFormatting sqref="C21:C22">
    <cfRule type="expression" dxfId="11" priority="5">
      <formula>LEFT($C$6,1)="d"</formula>
    </cfRule>
  </conditionalFormatting>
  <conditionalFormatting sqref="B20">
    <cfRule type="expression" dxfId="10" priority="6">
      <formula>LEFT($C$6,1)="d"</formula>
    </cfRule>
  </conditionalFormatting>
  <conditionalFormatting sqref="C20">
    <cfRule type="expression" dxfId="9" priority="7">
      <formula>LEFT($C$6,1)="d"</formula>
    </cfRule>
  </conditionalFormatting>
  <conditionalFormatting sqref="D21:E21">
    <cfRule type="expression" dxfId="8" priority="8">
      <formula>$C$21="yes"</formula>
    </cfRule>
  </conditionalFormatting>
  <dataValidations count="3">
    <dataValidation type="custom" allowBlank="1" showInputMessage="1" showErrorMessage="1" prompt="wrong" sqref="E32" xr:uid="{00000000-0002-0000-0300-000000000000}">
      <formula1>AND(ISNUMBER(SEARCH(LEFT(C6,1), "ABCDEFGHIJKLNPRSVW")), ISNUMBER(MID(C6,2,LEN(C6))+0), LEN(C6)&lt;10)</formula1>
    </dataValidation>
    <dataValidation type="custom" allowBlank="1" showInputMessage="1" showErrorMessage="1" prompt="Please correct Accounting Code to a 6-digit number (123456)." sqref="C9" xr:uid="{00000000-0002-0000-0300-000002000000}">
      <formula1>AND(LEN(C$8)=6,ISNUMBER(C$8))</formula1>
    </dataValidation>
    <dataValidation type="custom" allowBlank="1" showInputMessage="1" showErrorMessage="1" prompt="Please correct Project # to be in the format of D12345678." sqref="E31" xr:uid="{00000000-0002-0000-0300-000004000000}">
      <formula1>AND(ISNUMBER(SEARCH(LEFT(C6,1), "ABCDEFGHIJKLNPRSVW")), ISNUMBER(MID(C6,2,LEN(C6))+0), LEN(C6)=9)</formula1>
    </dataValidation>
  </dataValidations>
  <pageMargins left="0.7" right="0.7" top="0.75" bottom="0.75" header="0" footer="0"/>
  <pageSetup scale="90" orientation="portrait"/>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prompt="Please Select  - Sponsor or GTRI" xr:uid="{00000000-0002-0000-0300-000001000000}">
          <x14:formula1>
            <xm:f>Sheet3!$F$2:$F$3</xm:f>
          </x14:formula1>
          <xm:sqref>C19</xm:sqref>
        </x14:dataValidation>
        <x14:dataValidation type="list" allowBlank="1" showInputMessage="1" showErrorMessage="1" prompt="This is a simple &quot;Yes&quot; or &quot;No&quot; question." xr:uid="{00000000-0002-0000-0300-000003000000}">
          <x14:formula1>
            <xm:f>Sheet3!$E$2:$E$3</xm:f>
          </x14:formula1>
          <xm:sqref>C18 C20:C25</xm:sqref>
        </x14:dataValidation>
        <x14:dataValidation type="list" allowBlank="1" showInputMessage="1" showErrorMessage="1" prompt="Please choose from list" xr:uid="{00000000-0002-0000-0300-000005000000}">
          <x14:formula1>
            <xm:f>Sheet3!$K$2:$K$8</xm:f>
          </x14:formula1>
          <xm:sqref>E2</xm:sqref>
        </x14:dataValidation>
        <x14:dataValidation type="list" allowBlank="1" showInputMessage="1" showErrorMessage="1" prompt="Please choose from list." xr:uid="{00000000-0002-0000-0300-000006000000}">
          <x14:formula1>
            <xm:f>Sheet3!$A$2:$A$12</xm:f>
          </x14:formula1>
          <xm:sqref>C27</xm:sqref>
        </x14:dataValidation>
        <x14:dataValidation type="list" allowBlank="1" showInputMessage="1" showErrorMessage="1" prompt="Please choose from list." xr:uid="{00000000-0002-0000-0300-000007000000}">
          <x14:formula1>
            <xm:f>Sheet3!$D$2:$D$6</xm:f>
          </x14:formula1>
          <xm:sqref>C29</xm:sqref>
        </x14:dataValidation>
        <x14:dataValidation type="list" allowBlank="1" showInputMessage="1" showErrorMessage="1" prompt="Please choose from list." xr:uid="{00000000-0002-0000-0300-000008000000}">
          <x14:formula1>
            <xm:f>Sheet3!$B$2:$B$3</xm:f>
          </x14:formula1>
          <xm:sqref>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0"/>
  <sheetViews>
    <sheetView workbookViewId="0"/>
  </sheetViews>
  <sheetFormatPr defaultColWidth="12.625" defaultRowHeight="15" customHeight="1"/>
  <cols>
    <col min="1" max="1" width="19.875" customWidth="1"/>
    <col min="2" max="2" width="34.125" customWidth="1"/>
    <col min="3" max="3" width="34.5" customWidth="1"/>
    <col min="4" max="4" width="11.375" customWidth="1"/>
    <col min="5" max="5" width="13" customWidth="1"/>
    <col min="6" max="6" width="10.875" customWidth="1"/>
    <col min="7" max="7" width="86.125" customWidth="1"/>
    <col min="8" max="26" width="8" customWidth="1"/>
  </cols>
  <sheetData>
    <row r="1" spans="1:26" ht="51.75" customHeight="1">
      <c r="A1" s="88" t="s">
        <v>156</v>
      </c>
      <c r="B1" s="89"/>
      <c r="C1" s="89"/>
      <c r="D1" s="89"/>
      <c r="E1" s="89"/>
      <c r="F1" s="90"/>
      <c r="G1" s="2" t="str">
        <f>'Under $10k'!G1</f>
        <v>Version 6.3</v>
      </c>
      <c r="H1" s="2"/>
      <c r="I1" s="2"/>
      <c r="J1" s="2"/>
      <c r="K1" s="2"/>
      <c r="L1" s="2"/>
      <c r="M1" s="2"/>
      <c r="N1" s="2"/>
      <c r="O1" s="2"/>
      <c r="P1" s="2"/>
      <c r="Q1" s="2"/>
      <c r="R1" s="2"/>
      <c r="S1" s="2"/>
      <c r="T1" s="2"/>
      <c r="U1" s="2"/>
      <c r="V1" s="2"/>
      <c r="W1" s="2"/>
      <c r="X1" s="2"/>
      <c r="Y1" s="2"/>
      <c r="Z1" s="2"/>
    </row>
    <row r="2" spans="1:26" ht="65.25" customHeight="1">
      <c r="A2" s="3" t="s">
        <v>6</v>
      </c>
      <c r="B2" s="4" t="s">
        <v>8</v>
      </c>
      <c r="C2" s="5"/>
      <c r="D2" s="6" t="s">
        <v>9</v>
      </c>
      <c r="E2" s="8"/>
      <c r="F2" s="9" t="s">
        <v>13</v>
      </c>
      <c r="G2" s="10"/>
      <c r="H2" s="2"/>
      <c r="I2" s="2"/>
      <c r="J2" s="2"/>
      <c r="K2" s="2"/>
      <c r="L2" s="2"/>
      <c r="M2" s="2"/>
      <c r="N2" s="2"/>
      <c r="O2" s="2"/>
      <c r="P2" s="2"/>
      <c r="Q2" s="2"/>
      <c r="R2" s="2"/>
      <c r="S2" s="2"/>
      <c r="T2" s="2"/>
      <c r="U2" s="2"/>
      <c r="V2" s="2"/>
      <c r="W2" s="2"/>
      <c r="X2" s="2"/>
      <c r="Y2" s="2"/>
      <c r="Z2" s="2"/>
    </row>
    <row r="3" spans="1:26" ht="15.75">
      <c r="A3" s="3"/>
      <c r="B3" s="4" t="s">
        <v>16</v>
      </c>
      <c r="C3" s="12"/>
      <c r="D3" s="3"/>
      <c r="E3" s="4"/>
      <c r="F3" s="4"/>
      <c r="G3" s="4"/>
      <c r="H3" s="2"/>
      <c r="I3" s="2"/>
      <c r="J3" s="2"/>
      <c r="K3" s="2"/>
      <c r="L3" s="2"/>
      <c r="M3" s="2"/>
      <c r="N3" s="2"/>
      <c r="O3" s="2"/>
      <c r="P3" s="2"/>
      <c r="Q3" s="2"/>
      <c r="R3" s="2"/>
      <c r="S3" s="2"/>
      <c r="T3" s="2"/>
      <c r="U3" s="2"/>
      <c r="V3" s="2"/>
      <c r="W3" s="2"/>
      <c r="X3" s="2"/>
      <c r="Y3" s="2"/>
      <c r="Z3" s="2"/>
    </row>
    <row r="4" spans="1:26" ht="15.75">
      <c r="A4" s="3"/>
      <c r="B4" s="4" t="s">
        <v>19</v>
      </c>
      <c r="C4" s="14"/>
      <c r="D4" s="3"/>
      <c r="E4" s="4"/>
      <c r="F4" s="4"/>
      <c r="G4" s="4"/>
      <c r="H4" s="2"/>
      <c r="I4" s="2"/>
      <c r="J4" s="2"/>
      <c r="K4" s="2"/>
      <c r="L4" s="2"/>
      <c r="M4" s="2"/>
      <c r="N4" s="2"/>
      <c r="O4" s="2"/>
      <c r="P4" s="2"/>
      <c r="Q4" s="2"/>
      <c r="R4" s="2"/>
      <c r="S4" s="2"/>
      <c r="T4" s="2"/>
      <c r="U4" s="2"/>
      <c r="V4" s="2"/>
      <c r="W4" s="2"/>
      <c r="X4" s="2"/>
      <c r="Y4" s="2"/>
      <c r="Z4" s="2"/>
    </row>
    <row r="5" spans="1:26" ht="15.75">
      <c r="A5" s="3"/>
      <c r="B5" s="4"/>
      <c r="C5" s="16"/>
      <c r="D5" s="3"/>
      <c r="E5" s="4"/>
      <c r="F5" s="4"/>
      <c r="G5" s="4"/>
      <c r="H5" s="2"/>
      <c r="I5" s="2"/>
      <c r="J5" s="2"/>
      <c r="K5" s="2"/>
      <c r="L5" s="2"/>
      <c r="M5" s="2"/>
      <c r="N5" s="2"/>
      <c r="O5" s="2"/>
      <c r="P5" s="2"/>
      <c r="Q5" s="2"/>
      <c r="R5" s="2"/>
      <c r="S5" s="2"/>
      <c r="T5" s="2"/>
      <c r="U5" s="2"/>
      <c r="V5" s="2"/>
      <c r="W5" s="2"/>
      <c r="X5" s="2"/>
      <c r="Y5" s="2"/>
      <c r="Z5" s="2"/>
    </row>
    <row r="6" spans="1:26" ht="15.75">
      <c r="A6" s="3" t="s">
        <v>22</v>
      </c>
      <c r="B6" s="4" t="s">
        <v>157</v>
      </c>
      <c r="C6" s="8"/>
      <c r="D6" s="4"/>
      <c r="E6" s="4"/>
      <c r="F6" s="4"/>
      <c r="G6" s="4"/>
      <c r="H6" s="2"/>
      <c r="I6" s="2"/>
      <c r="J6" s="2"/>
      <c r="K6" s="2"/>
      <c r="L6" s="2"/>
      <c r="M6" s="2"/>
      <c r="N6" s="2"/>
      <c r="O6" s="2"/>
      <c r="P6" s="2"/>
      <c r="Q6" s="2"/>
      <c r="R6" s="2"/>
      <c r="S6" s="2"/>
      <c r="T6" s="2"/>
      <c r="U6" s="2"/>
      <c r="V6" s="2"/>
      <c r="W6" s="2"/>
      <c r="X6" s="2"/>
      <c r="Y6" s="2"/>
      <c r="Z6" s="2"/>
    </row>
    <row r="7" spans="1:26" ht="15.75">
      <c r="A7" s="4"/>
      <c r="B7" s="4" t="s">
        <v>158</v>
      </c>
      <c r="C7" s="18"/>
      <c r="D7" s="4"/>
      <c r="E7" s="4"/>
      <c r="F7" s="4"/>
      <c r="G7" s="4"/>
      <c r="H7" s="2"/>
      <c r="I7" s="2"/>
      <c r="J7" s="2"/>
      <c r="K7" s="2"/>
      <c r="L7" s="2"/>
      <c r="M7" s="2"/>
      <c r="N7" s="2"/>
      <c r="O7" s="2"/>
      <c r="P7" s="2"/>
      <c r="Q7" s="2"/>
      <c r="R7" s="2"/>
      <c r="S7" s="2"/>
      <c r="T7" s="2"/>
      <c r="U7" s="2"/>
      <c r="V7" s="2"/>
      <c r="W7" s="2"/>
      <c r="X7" s="2"/>
      <c r="Y7" s="2"/>
      <c r="Z7" s="2"/>
    </row>
    <row r="8" spans="1:26" ht="15.75">
      <c r="A8" s="4"/>
      <c r="B8" s="4" t="s">
        <v>159</v>
      </c>
      <c r="C8" s="18"/>
      <c r="D8" s="4"/>
      <c r="E8" s="4"/>
      <c r="F8" s="4"/>
      <c r="G8" s="4"/>
      <c r="H8" s="2"/>
      <c r="I8" s="2"/>
      <c r="J8" s="2"/>
      <c r="K8" s="2"/>
      <c r="L8" s="2"/>
      <c r="M8" s="2"/>
      <c r="N8" s="2"/>
      <c r="O8" s="2"/>
      <c r="P8" s="2"/>
      <c r="Q8" s="2"/>
      <c r="R8" s="2"/>
      <c r="S8" s="2"/>
      <c r="T8" s="2"/>
      <c r="U8" s="2"/>
      <c r="V8" s="2"/>
      <c r="W8" s="2"/>
      <c r="X8" s="2"/>
      <c r="Y8" s="2"/>
      <c r="Z8" s="2"/>
    </row>
    <row r="9" spans="1:26" ht="15.75">
      <c r="A9" s="4"/>
      <c r="B9" s="4"/>
      <c r="C9" s="4"/>
      <c r="D9" s="4"/>
      <c r="E9" s="4"/>
      <c r="F9" s="4"/>
      <c r="G9" s="4"/>
      <c r="H9" s="2"/>
      <c r="I9" s="2"/>
      <c r="J9" s="2"/>
      <c r="K9" s="2"/>
      <c r="L9" s="2"/>
      <c r="M9" s="2"/>
      <c r="N9" s="2"/>
      <c r="O9" s="2"/>
      <c r="P9" s="2"/>
      <c r="Q9" s="2"/>
      <c r="R9" s="2"/>
      <c r="S9" s="2"/>
      <c r="T9" s="2"/>
      <c r="U9" s="2"/>
      <c r="V9" s="2"/>
      <c r="W9" s="2"/>
      <c r="X9" s="2"/>
      <c r="Y9" s="2"/>
      <c r="Z9" s="2"/>
    </row>
    <row r="10" spans="1:26" ht="63">
      <c r="A10" s="4"/>
      <c r="B10" s="25" t="str">
        <f>"Are these products going to be used exclusively on this project ("&amp;LEFT(C6,5)&amp;") as property of the sponsor unless sponsor has authorized us to retain them?"</f>
        <v>Are these products going to be used exclusively on this project () as property of the sponsor unless sponsor has authorized us to retain them?</v>
      </c>
      <c r="C10" s="4"/>
      <c r="D10" s="4"/>
      <c r="E10" s="4"/>
      <c r="F10" s="4"/>
      <c r="G10" s="4"/>
      <c r="H10" s="2"/>
      <c r="I10" s="2"/>
      <c r="J10" s="2"/>
      <c r="K10" s="2"/>
      <c r="L10" s="2"/>
      <c r="M10" s="2"/>
      <c r="N10" s="2"/>
      <c r="O10" s="2"/>
      <c r="P10" s="2"/>
      <c r="Q10" s="2"/>
      <c r="R10" s="2"/>
      <c r="S10" s="2"/>
      <c r="T10" s="2"/>
      <c r="U10" s="2"/>
      <c r="V10" s="2"/>
      <c r="W10" s="2"/>
      <c r="X10" s="2"/>
      <c r="Y10" s="2"/>
      <c r="Z10" s="2"/>
    </row>
    <row r="11" spans="1:26" ht="47.25">
      <c r="A11" s="4"/>
      <c r="B11" s="25" t="s">
        <v>50</v>
      </c>
      <c r="C11" s="26"/>
      <c r="D11" s="4"/>
      <c r="E11" s="4"/>
      <c r="F11" s="4"/>
      <c r="G11" s="4"/>
      <c r="H11" s="2"/>
      <c r="I11" s="2"/>
      <c r="J11" s="2"/>
      <c r="K11" s="2"/>
      <c r="L11" s="2"/>
      <c r="M11" s="2"/>
      <c r="N11" s="2"/>
      <c r="O11" s="2"/>
      <c r="P11" s="2"/>
      <c r="Q11" s="2"/>
      <c r="R11" s="2"/>
      <c r="S11" s="2"/>
      <c r="T11" s="2"/>
      <c r="U11" s="2"/>
      <c r="V11" s="2"/>
      <c r="W11" s="2"/>
      <c r="X11" s="2"/>
      <c r="Y11" s="2"/>
      <c r="Z11" s="2"/>
    </row>
    <row r="12" spans="1:26" ht="47.25">
      <c r="A12" s="4"/>
      <c r="B12" s="25" t="s">
        <v>53</v>
      </c>
      <c r="C12" s="28"/>
      <c r="D12" s="4"/>
      <c r="E12" s="4"/>
      <c r="F12" s="4"/>
      <c r="G12" s="2"/>
      <c r="H12" s="2"/>
      <c r="I12" s="2"/>
      <c r="J12" s="2"/>
      <c r="K12" s="2"/>
      <c r="L12" s="2"/>
      <c r="M12" s="2"/>
      <c r="N12" s="2"/>
      <c r="O12" s="2"/>
      <c r="P12" s="2"/>
      <c r="Q12" s="2"/>
      <c r="R12" s="2"/>
      <c r="S12" s="2"/>
      <c r="T12" s="2"/>
      <c r="U12" s="2"/>
      <c r="V12" s="2"/>
      <c r="W12" s="2"/>
      <c r="X12" s="2"/>
      <c r="Y12" s="2"/>
      <c r="Z12" s="2"/>
    </row>
    <row r="13" spans="1:26" ht="31.5">
      <c r="A13" s="4"/>
      <c r="B13" s="25" t="s">
        <v>55</v>
      </c>
      <c r="C13" s="28"/>
      <c r="D13" s="94" t="s">
        <v>56</v>
      </c>
      <c r="E13" s="85"/>
      <c r="F13" s="8"/>
      <c r="G13" s="4"/>
      <c r="H13" s="2"/>
      <c r="I13" s="2"/>
      <c r="J13" s="2"/>
      <c r="K13" s="2"/>
      <c r="L13" s="2"/>
      <c r="M13" s="2"/>
      <c r="N13" s="2"/>
      <c r="O13" s="2"/>
      <c r="P13" s="2"/>
      <c r="Q13" s="2"/>
      <c r="R13" s="2"/>
      <c r="S13" s="2"/>
      <c r="T13" s="2"/>
      <c r="U13" s="2"/>
      <c r="V13" s="2"/>
      <c r="W13" s="2"/>
      <c r="X13" s="2"/>
      <c r="Y13" s="2"/>
      <c r="Z13" s="2"/>
    </row>
    <row r="14" spans="1:26" ht="31.5">
      <c r="A14" s="4"/>
      <c r="B14" s="25" t="s">
        <v>58</v>
      </c>
      <c r="C14" s="28"/>
      <c r="D14" s="4"/>
      <c r="E14" s="4"/>
      <c r="F14" s="4"/>
      <c r="G14" s="4"/>
      <c r="H14" s="2"/>
      <c r="I14" s="2"/>
      <c r="J14" s="2"/>
      <c r="K14" s="2"/>
      <c r="L14" s="2"/>
      <c r="M14" s="2"/>
      <c r="N14" s="2"/>
      <c r="O14" s="2"/>
      <c r="P14" s="2"/>
      <c r="Q14" s="2"/>
      <c r="R14" s="2"/>
      <c r="S14" s="2"/>
      <c r="T14" s="2"/>
      <c r="U14" s="2"/>
      <c r="V14" s="2"/>
      <c r="W14" s="2"/>
      <c r="X14" s="2"/>
      <c r="Y14" s="2"/>
      <c r="Z14" s="2"/>
    </row>
    <row r="15" spans="1:26" ht="63">
      <c r="A15" s="4"/>
      <c r="B15" s="22" t="s">
        <v>59</v>
      </c>
      <c r="C15" s="5"/>
      <c r="D15" s="4"/>
      <c r="E15" s="4"/>
      <c r="F15" s="4"/>
      <c r="G15" s="4"/>
      <c r="H15" s="2"/>
      <c r="I15" s="2"/>
      <c r="J15" s="2"/>
      <c r="K15" s="2"/>
      <c r="L15" s="2"/>
      <c r="M15" s="2"/>
      <c r="N15" s="2"/>
      <c r="O15" s="2"/>
      <c r="P15" s="2"/>
      <c r="Q15" s="2"/>
      <c r="R15" s="2"/>
      <c r="S15" s="2"/>
      <c r="T15" s="2"/>
      <c r="U15" s="2"/>
      <c r="V15" s="2"/>
      <c r="W15" s="2"/>
      <c r="X15" s="2"/>
      <c r="Y15" s="2"/>
      <c r="Z15" s="2"/>
    </row>
    <row r="16" spans="1:26" ht="15.75">
      <c r="A16" s="3"/>
      <c r="B16" s="4"/>
      <c r="C16" s="16"/>
      <c r="D16" s="4"/>
      <c r="E16" s="4"/>
      <c r="F16" s="4"/>
      <c r="G16" s="4"/>
      <c r="H16" s="2"/>
      <c r="I16" s="2"/>
      <c r="J16" s="2"/>
      <c r="K16" s="2"/>
      <c r="L16" s="2"/>
      <c r="M16" s="2"/>
      <c r="N16" s="2"/>
      <c r="O16" s="2"/>
      <c r="P16" s="2"/>
      <c r="Q16" s="2"/>
      <c r="R16" s="2"/>
      <c r="S16" s="2"/>
      <c r="T16" s="2"/>
      <c r="U16" s="2"/>
      <c r="V16" s="2"/>
      <c r="W16" s="2"/>
      <c r="X16" s="2"/>
      <c r="Y16" s="2"/>
      <c r="Z16" s="2"/>
    </row>
    <row r="17" spans="1:26" ht="15.75">
      <c r="A17" s="3" t="s">
        <v>160</v>
      </c>
      <c r="B17" s="4" t="s">
        <v>161</v>
      </c>
      <c r="C17" s="16"/>
      <c r="D17" s="4"/>
      <c r="E17" s="4"/>
      <c r="F17" s="4"/>
      <c r="G17" s="4"/>
      <c r="H17" s="2"/>
      <c r="I17" s="2"/>
      <c r="J17" s="2"/>
      <c r="K17" s="2"/>
      <c r="L17" s="2"/>
      <c r="M17" s="2"/>
      <c r="N17" s="2"/>
      <c r="O17" s="2"/>
      <c r="P17" s="2"/>
      <c r="Q17" s="2"/>
      <c r="R17" s="2"/>
      <c r="S17" s="2"/>
      <c r="T17" s="2"/>
      <c r="U17" s="2"/>
      <c r="V17" s="2"/>
      <c r="W17" s="2"/>
      <c r="X17" s="2"/>
      <c r="Y17" s="2"/>
      <c r="Z17" s="2"/>
    </row>
    <row r="18" spans="1:26" ht="15.75">
      <c r="A18" s="3"/>
      <c r="B18" s="66" t="str">
        <f>HYPERLINK("File:////\\fs1.elsys.gtri.org\sen\sen_div\P-Card Orders\SEN_Tant\administrative\forms\SoleSourceForm.pdf","Sole Source Form")</f>
        <v>Sole Source Form</v>
      </c>
      <c r="C18" s="16"/>
      <c r="D18" s="4"/>
      <c r="E18" s="4"/>
      <c r="F18" s="4"/>
      <c r="G18" s="4"/>
      <c r="H18" s="2"/>
      <c r="I18" s="2"/>
      <c r="J18" s="2"/>
      <c r="K18" s="2"/>
      <c r="L18" s="2"/>
      <c r="M18" s="2"/>
      <c r="N18" s="2"/>
      <c r="O18" s="2"/>
      <c r="P18" s="2"/>
      <c r="Q18" s="2"/>
      <c r="R18" s="2"/>
      <c r="S18" s="2"/>
      <c r="T18" s="2"/>
      <c r="U18" s="2"/>
      <c r="V18" s="2"/>
      <c r="W18" s="2"/>
      <c r="X18" s="2"/>
      <c r="Y18" s="2"/>
      <c r="Z18" s="2"/>
    </row>
    <row r="19" spans="1:26" ht="15.75">
      <c r="A19" s="4"/>
      <c r="B19" s="67" t="s">
        <v>40</v>
      </c>
      <c r="C19" s="8"/>
      <c r="D19" s="4"/>
      <c r="E19" s="4"/>
      <c r="F19" s="4"/>
      <c r="G19" s="4"/>
      <c r="H19" s="2"/>
      <c r="I19" s="2"/>
      <c r="J19" s="2"/>
      <c r="K19" s="2"/>
      <c r="L19" s="2"/>
      <c r="M19" s="2"/>
      <c r="N19" s="2"/>
      <c r="O19" s="2"/>
      <c r="P19" s="2"/>
      <c r="Q19" s="2"/>
      <c r="R19" s="2"/>
      <c r="S19" s="2"/>
      <c r="T19" s="2"/>
      <c r="U19" s="2"/>
      <c r="V19" s="2"/>
      <c r="W19" s="2"/>
      <c r="X19" s="2"/>
      <c r="Y19" s="2"/>
      <c r="Z19" s="2"/>
    </row>
    <row r="20" spans="1:26" ht="78.75">
      <c r="A20" s="68" t="s">
        <v>162</v>
      </c>
      <c r="B20" s="22" t="str">
        <f>"On the above form:"&amp;CHAR(10)&amp;"*Contact Name* is the name of the Engineer who is qualified to answer technical questions about the item(s)."&amp;CHAR(10)&amp;"*Requisition #* can be left blank."</f>
        <v>On the above form:
*Contact Name* is the name of the Engineer who is qualified to answer technical questions about the item(s).
*Requisition #* can be left blank.</v>
      </c>
      <c r="C20" s="2"/>
      <c r="D20" s="4"/>
      <c r="E20" s="4"/>
      <c r="F20" s="4"/>
      <c r="G20" s="4"/>
      <c r="H20" s="2"/>
      <c r="I20" s="2"/>
      <c r="J20" s="2"/>
      <c r="K20" s="2"/>
      <c r="L20" s="2"/>
      <c r="M20" s="2"/>
      <c r="N20" s="2"/>
      <c r="O20" s="2"/>
      <c r="P20" s="2"/>
      <c r="Q20" s="2"/>
      <c r="R20" s="2"/>
      <c r="S20" s="2"/>
      <c r="T20" s="2"/>
      <c r="U20" s="2"/>
      <c r="V20" s="2"/>
      <c r="W20" s="2"/>
      <c r="X20" s="2"/>
      <c r="Y20" s="2"/>
      <c r="Z20" s="2"/>
    </row>
    <row r="21" spans="1:26" ht="15.75" customHeight="1">
      <c r="A21" s="4"/>
      <c r="B21" s="4"/>
      <c r="C21" s="16"/>
      <c r="D21" s="4"/>
      <c r="E21" s="4"/>
      <c r="F21" s="4"/>
      <c r="G21" s="4"/>
      <c r="H21" s="2"/>
      <c r="I21" s="2"/>
      <c r="J21" s="2"/>
      <c r="K21" s="2"/>
      <c r="L21" s="2"/>
      <c r="M21" s="2"/>
      <c r="N21" s="2"/>
      <c r="O21" s="2"/>
      <c r="P21" s="2"/>
      <c r="Q21" s="2"/>
      <c r="R21" s="2"/>
      <c r="S21" s="2"/>
      <c r="T21" s="2"/>
      <c r="U21" s="2"/>
      <c r="V21" s="2"/>
      <c r="W21" s="2"/>
      <c r="X21" s="2"/>
      <c r="Y21" s="2"/>
      <c r="Z21" s="2"/>
    </row>
    <row r="22" spans="1:26" ht="15.75" customHeight="1">
      <c r="A22" s="3" t="s">
        <v>69</v>
      </c>
      <c r="B22" s="16" t="s">
        <v>70</v>
      </c>
      <c r="C22" s="5"/>
      <c r="D22" s="4"/>
      <c r="E22" s="4"/>
      <c r="F22" s="4"/>
      <c r="G22" s="4"/>
      <c r="H22" s="2"/>
      <c r="I22" s="2"/>
      <c r="J22" s="2"/>
      <c r="K22" s="2"/>
      <c r="L22" s="2"/>
      <c r="M22" s="2"/>
      <c r="N22" s="2"/>
      <c r="O22" s="2"/>
      <c r="P22" s="2"/>
      <c r="Q22" s="2"/>
      <c r="R22" s="2"/>
      <c r="S22" s="2"/>
      <c r="T22" s="2"/>
      <c r="U22" s="2"/>
      <c r="V22" s="2"/>
      <c r="W22" s="2"/>
      <c r="X22" s="2"/>
      <c r="Y22" s="2"/>
      <c r="Z22" s="2"/>
    </row>
    <row r="23" spans="1:26" ht="15.75" customHeight="1">
      <c r="A23" s="4"/>
      <c r="B23" s="4" t="s">
        <v>72</v>
      </c>
      <c r="C23" s="35"/>
      <c r="D23" s="4"/>
      <c r="E23" s="4"/>
      <c r="F23" s="4"/>
      <c r="G23" s="4"/>
      <c r="H23" s="2"/>
      <c r="I23" s="2"/>
      <c r="J23" s="2"/>
      <c r="K23" s="2"/>
      <c r="L23" s="2"/>
      <c r="M23" s="2"/>
      <c r="N23" s="2"/>
      <c r="O23" s="2"/>
      <c r="P23" s="2"/>
      <c r="Q23" s="2"/>
      <c r="R23" s="2"/>
      <c r="S23" s="2"/>
      <c r="T23" s="2"/>
      <c r="U23" s="2"/>
      <c r="V23" s="2"/>
      <c r="W23" s="2"/>
      <c r="X23" s="2"/>
      <c r="Y23" s="2"/>
      <c r="Z23" s="2"/>
    </row>
    <row r="24" spans="1:26" ht="15.75" customHeight="1">
      <c r="A24" s="4"/>
      <c r="B24" s="22" t="s">
        <v>74</v>
      </c>
      <c r="C24" s="36"/>
      <c r="D24" s="4"/>
      <c r="E24" s="4"/>
      <c r="F24" s="4"/>
      <c r="G24" s="4"/>
      <c r="H24" s="2"/>
      <c r="I24" s="2"/>
      <c r="J24" s="2"/>
      <c r="K24" s="2"/>
      <c r="L24" s="2"/>
      <c r="M24" s="2"/>
      <c r="N24" s="2"/>
      <c r="O24" s="2"/>
      <c r="P24" s="2"/>
      <c r="Q24" s="2"/>
      <c r="R24" s="2"/>
      <c r="S24" s="2"/>
      <c r="T24" s="2"/>
      <c r="U24" s="2"/>
      <c r="V24" s="2"/>
      <c r="W24" s="2"/>
      <c r="X24" s="2"/>
      <c r="Y24" s="2"/>
      <c r="Z24" s="2"/>
    </row>
    <row r="25" spans="1:26" ht="15.75" customHeight="1">
      <c r="A25" s="4"/>
      <c r="B25" s="22" t="s">
        <v>163</v>
      </c>
      <c r="C25" s="21"/>
      <c r="D25" s="4"/>
      <c r="E25" s="4"/>
      <c r="F25" s="4"/>
      <c r="G25" s="4"/>
      <c r="H25" s="2"/>
      <c r="I25" s="2"/>
      <c r="J25" s="2"/>
      <c r="K25" s="2"/>
      <c r="L25" s="2"/>
      <c r="M25" s="2"/>
      <c r="N25" s="2"/>
      <c r="O25" s="2"/>
      <c r="P25" s="2"/>
      <c r="Q25" s="2"/>
      <c r="R25" s="2"/>
      <c r="S25" s="2"/>
      <c r="T25" s="2"/>
      <c r="U25" s="2"/>
      <c r="V25" s="2"/>
      <c r="W25" s="2"/>
      <c r="X25" s="2"/>
      <c r="Y25" s="2"/>
      <c r="Z25" s="2"/>
    </row>
    <row r="26" spans="1:26" ht="15.75" customHeight="1">
      <c r="A26" s="4"/>
      <c r="B26" s="22" t="s">
        <v>79</v>
      </c>
      <c r="C26" s="37"/>
      <c r="D26" s="4"/>
      <c r="E26" s="4"/>
      <c r="F26" s="4"/>
      <c r="G26" s="4"/>
      <c r="H26" s="2"/>
      <c r="I26" s="2"/>
      <c r="J26" s="2"/>
      <c r="K26" s="2"/>
      <c r="L26" s="2"/>
      <c r="M26" s="2"/>
      <c r="N26" s="2"/>
      <c r="O26" s="2"/>
      <c r="P26" s="2"/>
      <c r="Q26" s="2"/>
      <c r="R26" s="2"/>
      <c r="S26" s="2"/>
      <c r="T26" s="2"/>
      <c r="U26" s="2"/>
      <c r="V26" s="2"/>
      <c r="W26" s="2"/>
      <c r="X26" s="2"/>
      <c r="Y26" s="2"/>
      <c r="Z26" s="2"/>
    </row>
    <row r="27" spans="1:26" ht="15.75" customHeight="1">
      <c r="A27" s="38" t="s">
        <v>84</v>
      </c>
      <c r="B27" s="38" t="s">
        <v>85</v>
      </c>
      <c r="C27" s="38" t="s">
        <v>86</v>
      </c>
      <c r="D27" s="38" t="s">
        <v>87</v>
      </c>
      <c r="E27" s="38" t="s">
        <v>88</v>
      </c>
      <c r="F27" s="38" t="s">
        <v>89</v>
      </c>
      <c r="G27" s="39" t="s">
        <v>164</v>
      </c>
      <c r="H27" s="2"/>
      <c r="I27" s="2"/>
      <c r="J27" s="2"/>
      <c r="K27" s="2"/>
      <c r="L27" s="2"/>
      <c r="M27" s="2"/>
      <c r="N27" s="2"/>
      <c r="O27" s="2"/>
      <c r="P27" s="2"/>
      <c r="Q27" s="2"/>
      <c r="R27" s="2"/>
      <c r="S27" s="2"/>
      <c r="T27" s="2"/>
      <c r="U27" s="2"/>
      <c r="V27" s="2"/>
      <c r="W27" s="2"/>
      <c r="X27" s="2"/>
      <c r="Y27" s="2"/>
      <c r="Z27" s="2"/>
    </row>
    <row r="28" spans="1:26" ht="40.5" customHeight="1">
      <c r="A28" s="40">
        <v>1</v>
      </c>
      <c r="B28" s="42"/>
      <c r="C28" s="42"/>
      <c r="D28" s="44"/>
      <c r="E28" s="45"/>
      <c r="F28" s="47"/>
      <c r="G28" s="48"/>
      <c r="H28" s="2"/>
      <c r="I28" s="2"/>
      <c r="J28" s="2"/>
      <c r="K28" s="2"/>
      <c r="L28" s="2"/>
      <c r="M28" s="2"/>
      <c r="N28" s="2"/>
      <c r="O28" s="2"/>
      <c r="P28" s="2"/>
      <c r="Q28" s="2"/>
      <c r="R28" s="2"/>
      <c r="S28" s="2"/>
      <c r="T28" s="2"/>
      <c r="U28" s="2"/>
      <c r="V28" s="2"/>
      <c r="W28" s="2"/>
      <c r="X28" s="2"/>
      <c r="Y28" s="2"/>
      <c r="Z28" s="2"/>
    </row>
    <row r="29" spans="1:26" ht="40.5" customHeight="1">
      <c r="A29" s="49">
        <v>2</v>
      </c>
      <c r="B29" s="50"/>
      <c r="C29" s="50"/>
      <c r="D29" s="44"/>
      <c r="E29" s="45"/>
      <c r="F29" s="47"/>
      <c r="G29" s="52"/>
      <c r="H29" s="2"/>
      <c r="I29" s="2"/>
      <c r="J29" s="2"/>
      <c r="K29" s="2"/>
      <c r="L29" s="2"/>
      <c r="M29" s="2"/>
      <c r="N29" s="2"/>
      <c r="O29" s="2"/>
      <c r="P29" s="2"/>
      <c r="Q29" s="2"/>
      <c r="R29" s="2"/>
      <c r="S29" s="2"/>
      <c r="T29" s="2"/>
      <c r="U29" s="2"/>
      <c r="V29" s="2"/>
      <c r="W29" s="2"/>
      <c r="X29" s="2"/>
      <c r="Y29" s="2"/>
      <c r="Z29" s="2"/>
    </row>
    <row r="30" spans="1:26" ht="40.5" customHeight="1">
      <c r="A30" s="49">
        <v>3</v>
      </c>
      <c r="B30" s="50"/>
      <c r="C30" s="50"/>
      <c r="D30" s="44"/>
      <c r="E30" s="45"/>
      <c r="F30" s="47"/>
      <c r="G30" s="52"/>
      <c r="H30" s="2"/>
      <c r="I30" s="2"/>
      <c r="J30" s="2"/>
      <c r="K30" s="2"/>
      <c r="L30" s="2"/>
      <c r="M30" s="2"/>
      <c r="N30" s="2"/>
      <c r="O30" s="2"/>
      <c r="P30" s="2"/>
      <c r="Q30" s="2"/>
      <c r="R30" s="2"/>
      <c r="S30" s="2"/>
      <c r="T30" s="2"/>
      <c r="U30" s="2"/>
      <c r="V30" s="2"/>
      <c r="W30" s="2"/>
      <c r="X30" s="2"/>
      <c r="Y30" s="2"/>
      <c r="Z30" s="2"/>
    </row>
    <row r="31" spans="1:26" ht="40.5" customHeight="1">
      <c r="A31" s="49">
        <v>4</v>
      </c>
      <c r="B31" s="50"/>
      <c r="C31" s="50"/>
      <c r="D31" s="44"/>
      <c r="E31" s="45"/>
      <c r="F31" s="47"/>
      <c r="G31" s="52"/>
      <c r="H31" s="2"/>
      <c r="I31" s="2"/>
      <c r="J31" s="2"/>
      <c r="K31" s="2"/>
      <c r="L31" s="2"/>
      <c r="M31" s="2"/>
      <c r="N31" s="2"/>
      <c r="O31" s="2"/>
      <c r="P31" s="2"/>
      <c r="Q31" s="2"/>
      <c r="R31" s="2"/>
      <c r="S31" s="2"/>
      <c r="T31" s="2"/>
      <c r="U31" s="2"/>
      <c r="V31" s="2"/>
      <c r="W31" s="2"/>
      <c r="X31" s="2"/>
      <c r="Y31" s="2"/>
      <c r="Z31" s="2"/>
    </row>
    <row r="32" spans="1:26" ht="40.5" customHeight="1">
      <c r="A32" s="49">
        <v>5</v>
      </c>
      <c r="B32" s="50"/>
      <c r="C32" s="50"/>
      <c r="D32" s="44"/>
      <c r="E32" s="45"/>
      <c r="F32" s="47"/>
      <c r="G32" s="52"/>
      <c r="H32" s="2"/>
      <c r="I32" s="2"/>
      <c r="J32" s="2"/>
      <c r="K32" s="2"/>
      <c r="L32" s="2"/>
      <c r="M32" s="2"/>
      <c r="N32" s="2"/>
      <c r="O32" s="2"/>
      <c r="P32" s="2"/>
      <c r="Q32" s="2"/>
      <c r="R32" s="2"/>
      <c r="S32" s="2"/>
      <c r="T32" s="2"/>
      <c r="U32" s="2"/>
      <c r="V32" s="2"/>
      <c r="W32" s="2"/>
      <c r="X32" s="2"/>
      <c r="Y32" s="2"/>
      <c r="Z32" s="2"/>
    </row>
    <row r="33" spans="1:26" ht="40.5" customHeight="1">
      <c r="A33" s="49">
        <v>6</v>
      </c>
      <c r="B33" s="50"/>
      <c r="C33" s="50"/>
      <c r="D33" s="44"/>
      <c r="E33" s="45"/>
      <c r="F33" s="47"/>
      <c r="G33" s="52"/>
      <c r="H33" s="2"/>
      <c r="I33" s="2"/>
      <c r="J33" s="2"/>
      <c r="K33" s="2"/>
      <c r="L33" s="2"/>
      <c r="M33" s="2"/>
      <c r="N33" s="2"/>
      <c r="O33" s="2"/>
      <c r="P33" s="2"/>
      <c r="Q33" s="2"/>
      <c r="R33" s="2"/>
      <c r="S33" s="2"/>
      <c r="T33" s="2"/>
      <c r="U33" s="2"/>
      <c r="V33" s="2"/>
      <c r="W33" s="2"/>
      <c r="X33" s="2"/>
      <c r="Y33" s="2"/>
      <c r="Z33" s="2"/>
    </row>
    <row r="34" spans="1:26" ht="40.5" customHeight="1">
      <c r="A34" s="49">
        <v>7</v>
      </c>
      <c r="B34" s="50"/>
      <c r="C34" s="50"/>
      <c r="D34" s="44"/>
      <c r="E34" s="45"/>
      <c r="F34" s="47"/>
      <c r="G34" s="52"/>
      <c r="H34" s="2"/>
      <c r="I34" s="2"/>
      <c r="J34" s="2"/>
      <c r="K34" s="2"/>
      <c r="L34" s="2"/>
      <c r="M34" s="2"/>
      <c r="N34" s="2"/>
      <c r="O34" s="2"/>
      <c r="P34" s="2"/>
      <c r="Q34" s="2"/>
      <c r="R34" s="2"/>
      <c r="S34" s="2"/>
      <c r="T34" s="2"/>
      <c r="U34" s="2"/>
      <c r="V34" s="2"/>
      <c r="W34" s="2"/>
      <c r="X34" s="2"/>
      <c r="Y34" s="2"/>
      <c r="Z34" s="2"/>
    </row>
    <row r="35" spans="1:26" ht="40.5" customHeight="1">
      <c r="A35" s="49">
        <v>8</v>
      </c>
      <c r="B35" s="50"/>
      <c r="C35" s="50"/>
      <c r="D35" s="44"/>
      <c r="E35" s="45"/>
      <c r="F35" s="47"/>
      <c r="G35" s="52"/>
      <c r="H35" s="2"/>
      <c r="I35" s="2"/>
      <c r="J35" s="2"/>
      <c r="K35" s="2"/>
      <c r="L35" s="2"/>
      <c r="M35" s="2"/>
      <c r="N35" s="2"/>
      <c r="O35" s="2"/>
      <c r="P35" s="2"/>
      <c r="Q35" s="2"/>
      <c r="R35" s="2"/>
      <c r="S35" s="2"/>
      <c r="T35" s="2"/>
      <c r="U35" s="2"/>
      <c r="V35" s="2"/>
      <c r="W35" s="2"/>
      <c r="X35" s="2"/>
      <c r="Y35" s="2"/>
      <c r="Z35" s="2"/>
    </row>
    <row r="36" spans="1:26" ht="40.5" customHeight="1">
      <c r="A36" s="49">
        <v>9</v>
      </c>
      <c r="B36" s="50"/>
      <c r="C36" s="50"/>
      <c r="D36" s="44"/>
      <c r="E36" s="45"/>
      <c r="F36" s="47"/>
      <c r="G36" s="52"/>
      <c r="H36" s="2"/>
      <c r="I36" s="2"/>
      <c r="J36" s="2"/>
      <c r="K36" s="2"/>
      <c r="L36" s="2"/>
      <c r="M36" s="2"/>
      <c r="N36" s="2"/>
      <c r="O36" s="2"/>
      <c r="P36" s="2"/>
      <c r="Q36" s="2"/>
      <c r="R36" s="2"/>
      <c r="S36" s="2"/>
      <c r="T36" s="2"/>
      <c r="U36" s="2"/>
      <c r="V36" s="2"/>
      <c r="W36" s="2"/>
      <c r="X36" s="2"/>
      <c r="Y36" s="2"/>
      <c r="Z36" s="2"/>
    </row>
    <row r="37" spans="1:26" ht="40.5" customHeight="1">
      <c r="A37" s="49">
        <v>10</v>
      </c>
      <c r="B37" s="50"/>
      <c r="C37" s="50"/>
      <c r="D37" s="44"/>
      <c r="E37" s="45"/>
      <c r="F37" s="47"/>
      <c r="G37" s="52"/>
      <c r="H37" s="2"/>
      <c r="I37" s="2"/>
      <c r="J37" s="2"/>
      <c r="K37" s="2"/>
      <c r="L37" s="2"/>
      <c r="M37" s="2"/>
      <c r="N37" s="2"/>
      <c r="O37" s="2"/>
      <c r="P37" s="2"/>
      <c r="Q37" s="2"/>
      <c r="R37" s="2"/>
      <c r="S37" s="2"/>
      <c r="T37" s="2"/>
      <c r="U37" s="2"/>
      <c r="V37" s="2"/>
      <c r="W37" s="2"/>
      <c r="X37" s="2"/>
      <c r="Y37" s="2"/>
      <c r="Z37" s="2"/>
    </row>
    <row r="38" spans="1:26" ht="40.5" customHeight="1">
      <c r="A38" s="49">
        <v>11</v>
      </c>
      <c r="B38" s="50"/>
      <c r="C38" s="50"/>
      <c r="D38" s="44"/>
      <c r="E38" s="45"/>
      <c r="F38" s="47"/>
      <c r="G38" s="52"/>
      <c r="H38" s="2"/>
      <c r="I38" s="2"/>
      <c r="J38" s="2"/>
      <c r="K38" s="2"/>
      <c r="L38" s="2"/>
      <c r="M38" s="2"/>
      <c r="N38" s="2"/>
      <c r="O38" s="2"/>
      <c r="P38" s="2"/>
      <c r="Q38" s="2"/>
      <c r="R38" s="2"/>
      <c r="S38" s="2"/>
      <c r="T38" s="2"/>
      <c r="U38" s="2"/>
      <c r="V38" s="2"/>
      <c r="W38" s="2"/>
      <c r="X38" s="2"/>
      <c r="Y38" s="2"/>
      <c r="Z38" s="2"/>
    </row>
    <row r="39" spans="1:26" ht="40.5" customHeight="1">
      <c r="A39" s="49">
        <v>12</v>
      </c>
      <c r="B39" s="50"/>
      <c r="C39" s="50"/>
      <c r="D39" s="44"/>
      <c r="E39" s="45"/>
      <c r="F39" s="47"/>
      <c r="G39" s="52"/>
      <c r="H39" s="2"/>
      <c r="I39" s="2"/>
      <c r="J39" s="2"/>
      <c r="K39" s="2"/>
      <c r="L39" s="2"/>
      <c r="M39" s="2"/>
      <c r="N39" s="2"/>
      <c r="O39" s="2"/>
      <c r="P39" s="2"/>
      <c r="Q39" s="2"/>
      <c r="R39" s="2"/>
      <c r="S39" s="2"/>
      <c r="T39" s="2"/>
      <c r="U39" s="2"/>
      <c r="V39" s="2"/>
      <c r="W39" s="2"/>
      <c r="X39" s="2"/>
      <c r="Y39" s="2"/>
      <c r="Z39" s="2"/>
    </row>
    <row r="40" spans="1:26" ht="40.5" customHeight="1">
      <c r="A40" s="49">
        <v>13</v>
      </c>
      <c r="B40" s="50"/>
      <c r="C40" s="50"/>
      <c r="D40" s="44"/>
      <c r="E40" s="45"/>
      <c r="F40" s="47"/>
      <c r="G40" s="52"/>
      <c r="H40" s="2"/>
      <c r="I40" s="2"/>
      <c r="J40" s="2"/>
      <c r="K40" s="2"/>
      <c r="L40" s="2"/>
      <c r="M40" s="2"/>
      <c r="N40" s="2"/>
      <c r="O40" s="2"/>
      <c r="P40" s="2"/>
      <c r="Q40" s="2"/>
      <c r="R40" s="2"/>
      <c r="S40" s="2"/>
      <c r="T40" s="2"/>
      <c r="U40" s="2"/>
      <c r="V40" s="2"/>
      <c r="W40" s="2"/>
      <c r="X40" s="2"/>
      <c r="Y40" s="2"/>
      <c r="Z40" s="2"/>
    </row>
    <row r="41" spans="1:26" ht="40.5" customHeight="1">
      <c r="A41" s="49">
        <v>14</v>
      </c>
      <c r="B41" s="50"/>
      <c r="C41" s="50"/>
      <c r="D41" s="44"/>
      <c r="E41" s="45"/>
      <c r="F41" s="47"/>
      <c r="G41" s="52"/>
      <c r="H41" s="2"/>
      <c r="I41" s="2"/>
      <c r="J41" s="2"/>
      <c r="K41" s="2"/>
      <c r="L41" s="2"/>
      <c r="M41" s="2"/>
      <c r="N41" s="2"/>
      <c r="O41" s="2"/>
      <c r="P41" s="2"/>
      <c r="Q41" s="2"/>
      <c r="R41" s="2"/>
      <c r="S41" s="2"/>
      <c r="T41" s="2"/>
      <c r="U41" s="2"/>
      <c r="V41" s="2"/>
      <c r="W41" s="2"/>
      <c r="X41" s="2"/>
      <c r="Y41" s="2"/>
      <c r="Z41" s="2"/>
    </row>
    <row r="42" spans="1:26" ht="40.5" customHeight="1">
      <c r="A42" s="49">
        <v>15</v>
      </c>
      <c r="B42" s="50"/>
      <c r="C42" s="50"/>
      <c r="D42" s="44"/>
      <c r="E42" s="45"/>
      <c r="F42" s="47"/>
      <c r="G42" s="52"/>
      <c r="H42" s="2"/>
      <c r="I42" s="2"/>
      <c r="J42" s="2"/>
      <c r="K42" s="2"/>
      <c r="L42" s="2"/>
      <c r="M42" s="2"/>
      <c r="N42" s="2"/>
      <c r="O42" s="2"/>
      <c r="P42" s="2"/>
      <c r="Q42" s="2"/>
      <c r="R42" s="2"/>
      <c r="S42" s="2"/>
      <c r="T42" s="2"/>
      <c r="U42" s="2"/>
      <c r="V42" s="2"/>
      <c r="W42" s="2"/>
      <c r="X42" s="2"/>
      <c r="Y42" s="2"/>
      <c r="Z42" s="2"/>
    </row>
    <row r="43" spans="1:26" ht="40.5" customHeight="1">
      <c r="A43" s="49">
        <v>16</v>
      </c>
      <c r="B43" s="50"/>
      <c r="C43" s="50"/>
      <c r="D43" s="44"/>
      <c r="E43" s="45"/>
      <c r="F43" s="47"/>
      <c r="G43" s="52"/>
      <c r="H43" s="2"/>
      <c r="I43" s="2"/>
      <c r="J43" s="2"/>
      <c r="K43" s="2"/>
      <c r="L43" s="2"/>
      <c r="M43" s="2"/>
      <c r="N43" s="2"/>
      <c r="O43" s="2"/>
      <c r="P43" s="2"/>
      <c r="Q43" s="2"/>
      <c r="R43" s="2"/>
      <c r="S43" s="2"/>
      <c r="T43" s="2"/>
      <c r="U43" s="2"/>
      <c r="V43" s="2"/>
      <c r="W43" s="2"/>
      <c r="X43" s="2"/>
      <c r="Y43" s="2"/>
      <c r="Z43" s="2"/>
    </row>
    <row r="44" spans="1:26" ht="40.5" customHeight="1">
      <c r="A44" s="49">
        <v>17</v>
      </c>
      <c r="B44" s="50"/>
      <c r="C44" s="50"/>
      <c r="D44" s="44"/>
      <c r="E44" s="45"/>
      <c r="F44" s="47"/>
      <c r="G44" s="52"/>
      <c r="H44" s="2"/>
      <c r="I44" s="2"/>
      <c r="J44" s="2"/>
      <c r="K44" s="2"/>
      <c r="L44" s="2"/>
      <c r="M44" s="2"/>
      <c r="N44" s="2"/>
      <c r="O44" s="2"/>
      <c r="P44" s="2"/>
      <c r="Q44" s="2"/>
      <c r="R44" s="2"/>
      <c r="S44" s="2"/>
      <c r="T44" s="2"/>
      <c r="U44" s="2"/>
      <c r="V44" s="2"/>
      <c r="W44" s="2"/>
      <c r="X44" s="2"/>
      <c r="Y44" s="2"/>
      <c r="Z44" s="2"/>
    </row>
    <row r="45" spans="1:26" ht="40.5" customHeight="1">
      <c r="A45" s="49">
        <v>18</v>
      </c>
      <c r="B45" s="50"/>
      <c r="C45" s="50"/>
      <c r="D45" s="44"/>
      <c r="E45" s="45"/>
      <c r="F45" s="47"/>
      <c r="G45" s="52"/>
      <c r="H45" s="2"/>
      <c r="I45" s="2"/>
      <c r="J45" s="2"/>
      <c r="K45" s="2"/>
      <c r="L45" s="2"/>
      <c r="M45" s="2"/>
      <c r="N45" s="2"/>
      <c r="O45" s="2"/>
      <c r="P45" s="2"/>
      <c r="Q45" s="2"/>
      <c r="R45" s="2"/>
      <c r="S45" s="2"/>
      <c r="T45" s="2"/>
      <c r="U45" s="2"/>
      <c r="V45" s="2"/>
      <c r="W45" s="2"/>
      <c r="X45" s="2"/>
      <c r="Y45" s="2"/>
      <c r="Z45" s="2"/>
    </row>
    <row r="46" spans="1:26" ht="40.5" customHeight="1">
      <c r="A46" s="49">
        <v>19</v>
      </c>
      <c r="B46" s="50"/>
      <c r="C46" s="50"/>
      <c r="D46" s="44"/>
      <c r="E46" s="45"/>
      <c r="F46" s="47"/>
      <c r="G46" s="52"/>
      <c r="H46" s="2"/>
      <c r="I46" s="2"/>
      <c r="J46" s="2"/>
      <c r="K46" s="2"/>
      <c r="L46" s="2"/>
      <c r="M46" s="2"/>
      <c r="N46" s="2"/>
      <c r="O46" s="2"/>
      <c r="P46" s="2"/>
      <c r="Q46" s="2"/>
      <c r="R46" s="2"/>
      <c r="S46" s="2"/>
      <c r="T46" s="2"/>
      <c r="U46" s="2"/>
      <c r="V46" s="2"/>
      <c r="W46" s="2"/>
      <c r="X46" s="2"/>
      <c r="Y46" s="2"/>
      <c r="Z46" s="2"/>
    </row>
    <row r="47" spans="1:26" ht="40.5" customHeight="1">
      <c r="A47" s="49">
        <v>20</v>
      </c>
      <c r="B47" s="50"/>
      <c r="C47" s="50"/>
      <c r="D47" s="44"/>
      <c r="E47" s="45"/>
      <c r="F47" s="47"/>
      <c r="G47" s="52"/>
      <c r="H47" s="2"/>
      <c r="I47" s="2"/>
      <c r="J47" s="2"/>
      <c r="K47" s="2"/>
      <c r="L47" s="2"/>
      <c r="M47" s="2"/>
      <c r="N47" s="2"/>
      <c r="O47" s="2"/>
      <c r="P47" s="2"/>
      <c r="Q47" s="2"/>
      <c r="R47" s="2"/>
      <c r="S47" s="2"/>
      <c r="T47" s="2"/>
      <c r="U47" s="2"/>
      <c r="V47" s="2"/>
      <c r="W47" s="2"/>
      <c r="X47" s="2"/>
      <c r="Y47" s="2"/>
      <c r="Z47" s="2"/>
    </row>
    <row r="48" spans="1:26" ht="40.5" customHeight="1">
      <c r="A48" s="49">
        <v>21</v>
      </c>
      <c r="B48" s="50"/>
      <c r="C48" s="50"/>
      <c r="D48" s="44"/>
      <c r="E48" s="45"/>
      <c r="F48" s="47"/>
      <c r="G48" s="52"/>
      <c r="H48" s="2"/>
      <c r="I48" s="2"/>
      <c r="J48" s="2"/>
      <c r="K48" s="2"/>
      <c r="L48" s="2"/>
      <c r="M48" s="2"/>
      <c r="N48" s="2"/>
      <c r="O48" s="2"/>
      <c r="P48" s="2"/>
      <c r="Q48" s="2"/>
      <c r="R48" s="2"/>
      <c r="S48" s="2"/>
      <c r="T48" s="2"/>
      <c r="U48" s="2"/>
      <c r="V48" s="2"/>
      <c r="W48" s="2"/>
      <c r="X48" s="2"/>
      <c r="Y48" s="2"/>
      <c r="Z48" s="2"/>
    </row>
    <row r="49" spans="1:26" ht="40.5" customHeight="1">
      <c r="A49" s="49">
        <v>22</v>
      </c>
      <c r="B49" s="50"/>
      <c r="C49" s="50"/>
      <c r="D49" s="44"/>
      <c r="E49" s="45"/>
      <c r="F49" s="47"/>
      <c r="G49" s="52"/>
      <c r="H49" s="2"/>
      <c r="I49" s="2"/>
      <c r="J49" s="2"/>
      <c r="K49" s="2"/>
      <c r="L49" s="2"/>
      <c r="M49" s="2"/>
      <c r="N49" s="2"/>
      <c r="O49" s="2"/>
      <c r="P49" s="2"/>
      <c r="Q49" s="2"/>
      <c r="R49" s="2"/>
      <c r="S49" s="2"/>
      <c r="T49" s="2"/>
      <c r="U49" s="2"/>
      <c r="V49" s="2"/>
      <c r="W49" s="2"/>
      <c r="X49" s="2"/>
      <c r="Y49" s="2"/>
      <c r="Z49" s="2"/>
    </row>
    <row r="50" spans="1:26" ht="40.5" customHeight="1">
      <c r="A50" s="49">
        <v>23</v>
      </c>
      <c r="B50" s="50"/>
      <c r="C50" s="50"/>
      <c r="D50" s="44"/>
      <c r="E50" s="45"/>
      <c r="F50" s="47"/>
      <c r="G50" s="52"/>
      <c r="H50" s="2"/>
      <c r="I50" s="2"/>
      <c r="J50" s="2"/>
      <c r="K50" s="2"/>
      <c r="L50" s="2"/>
      <c r="M50" s="2"/>
      <c r="N50" s="2"/>
      <c r="O50" s="2"/>
      <c r="P50" s="2"/>
      <c r="Q50" s="2"/>
      <c r="R50" s="2"/>
      <c r="S50" s="2"/>
      <c r="T50" s="2"/>
      <c r="U50" s="2"/>
      <c r="V50" s="2"/>
      <c r="W50" s="2"/>
      <c r="X50" s="2"/>
      <c r="Y50" s="2"/>
      <c r="Z50" s="2"/>
    </row>
    <row r="51" spans="1:26" ht="40.5" customHeight="1">
      <c r="A51" s="49">
        <v>24</v>
      </c>
      <c r="B51" s="50"/>
      <c r="C51" s="50"/>
      <c r="D51" s="44"/>
      <c r="E51" s="45"/>
      <c r="F51" s="47"/>
      <c r="G51" s="52"/>
      <c r="H51" s="2"/>
      <c r="I51" s="2"/>
      <c r="J51" s="2"/>
      <c r="K51" s="2"/>
      <c r="L51" s="2"/>
      <c r="M51" s="2"/>
      <c r="N51" s="2"/>
      <c r="O51" s="2"/>
      <c r="P51" s="2"/>
      <c r="Q51" s="2"/>
      <c r="R51" s="2"/>
      <c r="S51" s="2"/>
      <c r="T51" s="2"/>
      <c r="U51" s="2"/>
      <c r="V51" s="2"/>
      <c r="W51" s="2"/>
      <c r="X51" s="2"/>
      <c r="Y51" s="2"/>
      <c r="Z51" s="2"/>
    </row>
    <row r="52" spans="1:26" ht="40.5" customHeight="1">
      <c r="A52" s="49">
        <v>25</v>
      </c>
      <c r="B52" s="50"/>
      <c r="C52" s="50"/>
      <c r="D52" s="44"/>
      <c r="E52" s="45"/>
      <c r="F52" s="47"/>
      <c r="G52" s="52"/>
      <c r="H52" s="2"/>
      <c r="I52" s="2"/>
      <c r="J52" s="2"/>
      <c r="K52" s="2"/>
      <c r="L52" s="2"/>
      <c r="M52" s="2"/>
      <c r="N52" s="2"/>
      <c r="O52" s="2"/>
      <c r="P52" s="2"/>
      <c r="Q52" s="2"/>
      <c r="R52" s="2"/>
      <c r="S52" s="2"/>
      <c r="T52" s="2"/>
      <c r="U52" s="2"/>
      <c r="V52" s="2"/>
      <c r="W52" s="2"/>
      <c r="X52" s="2"/>
      <c r="Y52" s="2"/>
      <c r="Z52" s="2"/>
    </row>
    <row r="53" spans="1:26" ht="15.75" customHeight="1">
      <c r="A53" s="4"/>
      <c r="B53" s="4"/>
      <c r="C53" s="4"/>
      <c r="D53" s="4"/>
      <c r="E53" s="4"/>
      <c r="F53" s="4"/>
      <c r="G53" s="4"/>
      <c r="H53" s="2"/>
      <c r="I53" s="2"/>
      <c r="J53" s="2"/>
      <c r="K53" s="2"/>
      <c r="L53" s="2"/>
      <c r="M53" s="2"/>
      <c r="N53" s="2"/>
      <c r="O53" s="2"/>
      <c r="P53" s="2"/>
      <c r="Q53" s="2"/>
      <c r="R53" s="2"/>
      <c r="S53" s="2"/>
      <c r="T53" s="2"/>
      <c r="U53" s="2"/>
      <c r="V53" s="2"/>
      <c r="W53" s="2"/>
      <c r="X53" s="2"/>
      <c r="Y53" s="2"/>
      <c r="Z53" s="2"/>
    </row>
    <row r="54" spans="1:26" ht="15.75" customHeight="1">
      <c r="A54" s="4"/>
      <c r="B54" s="4"/>
      <c r="C54" s="3" t="s">
        <v>145</v>
      </c>
      <c r="D54" s="4"/>
      <c r="E54" s="60">
        <f>SUMPRODUCT($D$28:$D$52,$E$28:$E$52)</f>
        <v>0</v>
      </c>
      <c r="F54" s="4"/>
      <c r="G54" s="4"/>
      <c r="H54" s="2"/>
      <c r="I54" s="2"/>
      <c r="J54" s="2"/>
      <c r="K54" s="2"/>
      <c r="L54" s="2"/>
      <c r="M54" s="2"/>
      <c r="N54" s="2"/>
      <c r="O54" s="2"/>
      <c r="P54" s="2"/>
      <c r="Q54" s="2"/>
      <c r="R54" s="2"/>
      <c r="S54" s="2"/>
      <c r="T54" s="2"/>
      <c r="U54" s="2"/>
      <c r="V54" s="2"/>
      <c r="W54" s="2"/>
      <c r="X54" s="2"/>
      <c r="Y54" s="2"/>
      <c r="Z54" s="2"/>
    </row>
    <row r="55" spans="1:26" ht="15.75" customHeight="1">
      <c r="A55" s="2"/>
      <c r="B55" s="2"/>
      <c r="C55" s="2"/>
      <c r="D55" s="2"/>
      <c r="E55" s="61"/>
      <c r="F55" s="2"/>
      <c r="G55" s="2"/>
      <c r="H55" s="2"/>
      <c r="I55" s="2"/>
      <c r="J55" s="2"/>
      <c r="K55" s="2"/>
      <c r="L55" s="2"/>
      <c r="M55" s="2"/>
      <c r="N55" s="2"/>
      <c r="O55" s="2"/>
      <c r="P55" s="2"/>
      <c r="Q55" s="2"/>
      <c r="R55" s="2"/>
      <c r="S55" s="2"/>
      <c r="T55" s="2"/>
      <c r="U55" s="2"/>
      <c r="V55" s="2"/>
      <c r="W55" s="2"/>
      <c r="X55" s="2"/>
      <c r="Y55" s="2"/>
      <c r="Z55" s="2"/>
    </row>
    <row r="56" spans="1:26" ht="15.75" customHeight="1">
      <c r="A56" s="2"/>
      <c r="B56" s="2"/>
      <c r="C56" s="2"/>
      <c r="D56" s="2"/>
      <c r="E56" s="61"/>
      <c r="F56" s="2"/>
      <c r="G56" s="2"/>
      <c r="H56" s="2"/>
      <c r="I56" s="2"/>
      <c r="J56" s="2"/>
      <c r="K56" s="2"/>
      <c r="L56" s="2"/>
      <c r="M56" s="2"/>
      <c r="N56" s="2"/>
      <c r="O56" s="2"/>
      <c r="P56" s="2"/>
      <c r="Q56" s="2"/>
      <c r="R56" s="2"/>
      <c r="S56" s="2"/>
      <c r="T56" s="2"/>
      <c r="U56" s="2"/>
      <c r="V56" s="2"/>
      <c r="W56" s="2"/>
      <c r="X56" s="2"/>
      <c r="Y56" s="2"/>
      <c r="Z56" s="2"/>
    </row>
    <row r="57" spans="1:26" ht="15.75" customHeight="1">
      <c r="A57" s="2"/>
      <c r="B57" s="2"/>
      <c r="C57" s="2"/>
      <c r="D57" s="2"/>
      <c r="E57" s="61"/>
      <c r="F57" s="2"/>
      <c r="G57" s="2"/>
      <c r="H57" s="2"/>
      <c r="I57" s="2"/>
      <c r="J57" s="2"/>
      <c r="K57" s="2"/>
      <c r="L57" s="2"/>
      <c r="M57" s="2"/>
      <c r="N57" s="2"/>
      <c r="O57" s="2"/>
      <c r="P57" s="2"/>
      <c r="Q57" s="2"/>
      <c r="R57" s="2"/>
      <c r="S57" s="2"/>
      <c r="T57" s="2"/>
      <c r="U57" s="2"/>
      <c r="V57" s="2"/>
      <c r="W57" s="2"/>
      <c r="X57" s="2"/>
      <c r="Y57" s="2"/>
      <c r="Z57" s="2"/>
    </row>
    <row r="58" spans="1:26"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2">
    <mergeCell ref="A1:F1"/>
    <mergeCell ref="D13:E13"/>
  </mergeCells>
  <conditionalFormatting sqref="B10">
    <cfRule type="expression" dxfId="7" priority="1">
      <formula>LEFT($C$6,1)="d"</formula>
    </cfRule>
  </conditionalFormatting>
  <conditionalFormatting sqref="C10">
    <cfRule type="expression" dxfId="6" priority="2">
      <formula>LEFT($C$6,1)="d"</formula>
    </cfRule>
  </conditionalFormatting>
  <conditionalFormatting sqref="B11">
    <cfRule type="expression" dxfId="5" priority="3">
      <formula>LEFT($C$6,1)="d"</formula>
    </cfRule>
  </conditionalFormatting>
  <conditionalFormatting sqref="B13:B14">
    <cfRule type="expression" dxfId="4" priority="4">
      <formula>LEFT($C$6,1)="d"</formula>
    </cfRule>
  </conditionalFormatting>
  <conditionalFormatting sqref="C13:C14">
    <cfRule type="expression" dxfId="3" priority="5">
      <formula>LEFT($C$6,1)="d"</formula>
    </cfRule>
  </conditionalFormatting>
  <conditionalFormatting sqref="B12">
    <cfRule type="expression" dxfId="2" priority="6">
      <formula>LEFT($C$6,1)="d"</formula>
    </cfRule>
  </conditionalFormatting>
  <conditionalFormatting sqref="C12">
    <cfRule type="expression" dxfId="1" priority="7">
      <formula>LEFT($C$6,1)="d"</formula>
    </cfRule>
  </conditionalFormatting>
  <conditionalFormatting sqref="D13:E13">
    <cfRule type="expression" dxfId="0" priority="8">
      <formula>$C$13="yes"</formula>
    </cfRule>
  </conditionalFormatting>
  <dataValidations count="2">
    <dataValidation type="custom" allowBlank="1" showInputMessage="1" showErrorMessage="1" prompt="wrong" sqref="E56" xr:uid="{00000000-0002-0000-0400-000000000000}">
      <formula1>AND(ISNUMBER(SEARCH(LEFT(C6,1), "ABCDEFGHIJKLNPRSVW")), ISNUMBER(MID(C6,2,LEN(C6))+0), LEN(C6)&lt;10)</formula1>
    </dataValidation>
    <dataValidation type="custom" allowBlank="1" showInputMessage="1" showErrorMessage="1" prompt="Please correct Project # to be in the format of D12345678." sqref="E55" xr:uid="{00000000-0002-0000-0400-000008000000}">
      <formula1>AND(ISNUMBER(SEARCH(LEFT(C6,1), "ABCDEFGHIJKLNPRSVW")), ISNUMBER(MID(C6,2,LEN(C6))+0), LEN(C6)=9)</formula1>
    </dataValidation>
  </dataValidations>
  <pageMargins left="0.7" right="0.7" top="0.75" bottom="0.75" header="0" footer="0"/>
  <pageSetup scale="90" orientation="portrait"/>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prompt="Please Select  - Sponsor or GTRI" xr:uid="{00000000-0002-0000-0400-000001000000}">
          <x14:formula1>
            <xm:f>Sheet3!$F$2:$F$3</xm:f>
          </x14:formula1>
          <xm:sqref>C11</xm:sqref>
        </x14:dataValidation>
        <x14:dataValidation type="list" allowBlank="1" showInputMessage="1" showErrorMessage="1" prompt="This is a simple &quot;Yes&quot; or &quot;No&quot; question." xr:uid="{00000000-0002-0000-0400-000002000000}">
          <x14:formula1>
            <xm:f>Sheet3!$E$2:$E$3</xm:f>
          </x14:formula1>
          <xm:sqref>C10 C12:C15</xm:sqref>
        </x14:dataValidation>
        <x14:dataValidation type="list" allowBlank="1" showInputMessage="1" showErrorMessage="1" prompt="Please choose from list" xr:uid="{00000000-0002-0000-0400-000003000000}">
          <x14:formula1>
            <xm:f>Sheet3!$K$2:$K$8</xm:f>
          </x14:formula1>
          <xm:sqref>E2</xm:sqref>
        </x14:dataValidation>
        <x14:dataValidation type="list" allowBlank="1" showInputMessage="1" showErrorMessage="1" prompt="Please choose from list." xr:uid="{00000000-0002-0000-0400-000004000000}">
          <x14:formula1>
            <xm:f>Sheet3!$A$2:$A$12</xm:f>
          </x14:formula1>
          <xm:sqref>C22</xm:sqref>
        </x14:dataValidation>
        <x14:dataValidation type="list" allowBlank="1" showInputMessage="1" showErrorMessage="1" prompt="Please choose from list." xr:uid="{00000000-0002-0000-0400-000005000000}">
          <x14:formula1>
            <xm:f>Sheet3!$C$2:$C$29</xm:f>
          </x14:formula1>
          <xm:sqref>C16:C18</xm:sqref>
        </x14:dataValidation>
        <x14:dataValidation type="list" allowBlank="1" showInputMessage="1" showErrorMessage="1" prompt="Please choose from list." xr:uid="{00000000-0002-0000-0400-000006000000}">
          <x14:formula1>
            <xm:f>Sheet3!$D$2:$D$6</xm:f>
          </x14:formula1>
          <xm:sqref>C24</xm:sqref>
        </x14:dataValidation>
        <x14:dataValidation type="list" allowBlank="1" showInputMessage="1" showErrorMessage="1" prompt="Please choose from list." xr:uid="{00000000-0002-0000-0400-000007000000}">
          <x14:formula1>
            <xm:f>Sheet3!$B$2:$B$3</xm:f>
          </x14:formula1>
          <xm:sqref>C25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1000"/>
  <sheetViews>
    <sheetView workbookViewId="0"/>
  </sheetViews>
  <sheetFormatPr defaultColWidth="12.625" defaultRowHeight="15" customHeight="1"/>
  <cols>
    <col min="1" max="1" width="13.875" customWidth="1"/>
    <col min="2" max="2" width="35.5" customWidth="1"/>
    <col min="3" max="3" width="34.5" customWidth="1"/>
    <col min="4" max="4" width="23.625" customWidth="1"/>
    <col min="5" max="5" width="13.125" customWidth="1"/>
    <col min="6" max="6" width="10.875" customWidth="1"/>
    <col min="7" max="7" width="86.125" customWidth="1"/>
    <col min="8" max="26" width="8" customWidth="1"/>
  </cols>
  <sheetData>
    <row r="1" spans="1:26" ht="57" customHeight="1">
      <c r="A1" s="88" t="s">
        <v>165</v>
      </c>
      <c r="B1" s="89"/>
      <c r="C1" s="89"/>
      <c r="D1" s="89"/>
      <c r="E1" s="89"/>
      <c r="F1" s="90"/>
      <c r="G1" s="2" t="str">
        <f>'Under $10k'!G1</f>
        <v>Version 6.3</v>
      </c>
      <c r="H1" s="2"/>
      <c r="I1" s="2"/>
      <c r="J1" s="2"/>
      <c r="K1" s="2"/>
      <c r="L1" s="2"/>
      <c r="M1" s="2"/>
      <c r="N1" s="2"/>
      <c r="O1" s="2"/>
      <c r="P1" s="2"/>
      <c r="Q1" s="2"/>
      <c r="R1" s="2"/>
      <c r="S1" s="2"/>
      <c r="T1" s="2"/>
      <c r="U1" s="2"/>
      <c r="V1" s="2"/>
      <c r="W1" s="2"/>
      <c r="X1" s="2"/>
      <c r="Y1" s="2"/>
      <c r="Z1" s="2"/>
    </row>
    <row r="2" spans="1:26" ht="65.25" customHeight="1">
      <c r="A2" s="3" t="s">
        <v>6</v>
      </c>
      <c r="B2" s="4" t="s">
        <v>8</v>
      </c>
      <c r="C2" s="5"/>
      <c r="D2" s="6" t="s">
        <v>9</v>
      </c>
      <c r="E2" s="8"/>
      <c r="F2" s="9" t="s">
        <v>13</v>
      </c>
      <c r="G2" s="10"/>
      <c r="H2" s="2"/>
      <c r="I2" s="2"/>
      <c r="J2" s="2"/>
      <c r="K2" s="2"/>
      <c r="L2" s="2"/>
      <c r="M2" s="2"/>
      <c r="N2" s="2"/>
      <c r="O2" s="2"/>
      <c r="P2" s="2"/>
      <c r="Q2" s="2"/>
      <c r="R2" s="2"/>
      <c r="S2" s="2"/>
      <c r="T2" s="2"/>
      <c r="U2" s="2"/>
      <c r="V2" s="2"/>
      <c r="W2" s="2"/>
      <c r="X2" s="2"/>
      <c r="Y2" s="2"/>
      <c r="Z2" s="2"/>
    </row>
    <row r="3" spans="1:26" ht="15.75">
      <c r="A3" s="3"/>
      <c r="B3" s="4" t="s">
        <v>16</v>
      </c>
      <c r="C3" s="12"/>
      <c r="D3" s="3"/>
      <c r="E3" s="4"/>
      <c r="F3" s="4"/>
      <c r="G3" s="4"/>
      <c r="H3" s="2"/>
      <c r="I3" s="2"/>
      <c r="J3" s="2"/>
      <c r="K3" s="2"/>
      <c r="L3" s="2"/>
      <c r="M3" s="2"/>
      <c r="N3" s="2"/>
      <c r="O3" s="2"/>
      <c r="P3" s="2"/>
      <c r="Q3" s="2"/>
      <c r="R3" s="2"/>
      <c r="S3" s="2"/>
      <c r="T3" s="2"/>
      <c r="U3" s="2"/>
      <c r="V3" s="2"/>
      <c r="W3" s="2"/>
      <c r="X3" s="2"/>
      <c r="Y3" s="2"/>
      <c r="Z3" s="2"/>
    </row>
    <row r="4" spans="1:26" ht="15.75">
      <c r="A4" s="3"/>
      <c r="B4" s="4" t="s">
        <v>19</v>
      </c>
      <c r="C4" s="14"/>
      <c r="D4" s="3"/>
      <c r="E4" s="4"/>
      <c r="F4" s="4"/>
      <c r="G4" s="4"/>
      <c r="H4" s="2"/>
      <c r="I4" s="2"/>
      <c r="J4" s="2"/>
      <c r="K4" s="2"/>
      <c r="L4" s="2"/>
      <c r="M4" s="2"/>
      <c r="N4" s="2"/>
      <c r="O4" s="2"/>
      <c r="P4" s="2"/>
      <c r="Q4" s="2"/>
      <c r="R4" s="2"/>
      <c r="S4" s="2"/>
      <c r="T4" s="2"/>
      <c r="U4" s="2"/>
      <c r="V4" s="2"/>
      <c r="W4" s="2"/>
      <c r="X4" s="2"/>
      <c r="Y4" s="2"/>
      <c r="Z4" s="2"/>
    </row>
    <row r="5" spans="1:26" ht="15.75">
      <c r="A5" s="3"/>
      <c r="B5" s="4"/>
      <c r="C5" s="16"/>
      <c r="D5" s="3"/>
      <c r="E5" s="4"/>
      <c r="F5" s="4"/>
      <c r="G5" s="4"/>
      <c r="H5" s="2"/>
      <c r="I5" s="2"/>
      <c r="J5" s="2"/>
      <c r="K5" s="2"/>
      <c r="L5" s="2"/>
      <c r="M5" s="2"/>
      <c r="N5" s="2"/>
      <c r="O5" s="2"/>
      <c r="P5" s="2"/>
      <c r="Q5" s="2"/>
      <c r="R5" s="2"/>
      <c r="S5" s="2"/>
      <c r="T5" s="2"/>
      <c r="U5" s="2"/>
      <c r="V5" s="2"/>
      <c r="W5" s="2"/>
      <c r="X5" s="2"/>
      <c r="Y5" s="2"/>
      <c r="Z5" s="2"/>
    </row>
    <row r="6" spans="1:26" ht="15.75">
      <c r="A6" s="3" t="s">
        <v>22</v>
      </c>
      <c r="B6" s="4" t="s">
        <v>166</v>
      </c>
      <c r="C6" s="8"/>
      <c r="D6" s="4"/>
      <c r="E6" s="4"/>
      <c r="F6" s="4"/>
      <c r="G6" s="4"/>
      <c r="H6" s="2"/>
      <c r="I6" s="2"/>
      <c r="J6" s="2"/>
      <c r="K6" s="2"/>
      <c r="L6" s="2"/>
      <c r="M6" s="2"/>
      <c r="N6" s="2"/>
      <c r="O6" s="2"/>
      <c r="P6" s="2"/>
      <c r="Q6" s="2"/>
      <c r="R6" s="2"/>
      <c r="S6" s="2"/>
      <c r="T6" s="2"/>
      <c r="U6" s="2"/>
      <c r="V6" s="2"/>
      <c r="W6" s="2"/>
      <c r="X6" s="2"/>
      <c r="Y6" s="2"/>
      <c r="Z6" s="2"/>
    </row>
    <row r="7" spans="1:26" ht="15.75">
      <c r="A7" s="4"/>
      <c r="B7" s="4" t="s">
        <v>167</v>
      </c>
      <c r="C7" s="5"/>
      <c r="D7" s="3"/>
      <c r="E7" s="4"/>
      <c r="F7" s="4"/>
      <c r="G7" s="4"/>
      <c r="H7" s="2"/>
      <c r="I7" s="2"/>
      <c r="J7" s="2"/>
      <c r="K7" s="2"/>
      <c r="L7" s="2"/>
      <c r="M7" s="2"/>
      <c r="N7" s="2"/>
      <c r="O7" s="2"/>
      <c r="P7" s="2"/>
      <c r="Q7" s="2"/>
      <c r="R7" s="2"/>
      <c r="S7" s="2"/>
      <c r="T7" s="2"/>
      <c r="U7" s="2"/>
      <c r="V7" s="2"/>
      <c r="W7" s="2"/>
      <c r="X7" s="2"/>
      <c r="Y7" s="2"/>
      <c r="Z7" s="2"/>
    </row>
    <row r="8" spans="1:26" ht="15.75">
      <c r="A8" s="4"/>
      <c r="B8" s="4" t="s">
        <v>168</v>
      </c>
      <c r="C8" s="5"/>
      <c r="D8" s="4"/>
      <c r="E8" s="4"/>
      <c r="F8" s="4"/>
      <c r="G8" s="4"/>
      <c r="H8" s="2"/>
      <c r="I8" s="2"/>
      <c r="J8" s="2"/>
      <c r="K8" s="2"/>
      <c r="L8" s="2"/>
      <c r="M8" s="2"/>
      <c r="N8" s="2"/>
      <c r="O8" s="2"/>
      <c r="P8" s="2"/>
      <c r="Q8" s="2"/>
      <c r="R8" s="2"/>
      <c r="S8" s="2"/>
      <c r="T8" s="2"/>
      <c r="U8" s="2"/>
      <c r="V8" s="2"/>
      <c r="W8" s="2"/>
      <c r="X8" s="2"/>
      <c r="Y8" s="2"/>
      <c r="Z8" s="2"/>
    </row>
    <row r="9" spans="1:26" ht="31.5">
      <c r="A9" s="4"/>
      <c r="B9" s="22" t="s">
        <v>169</v>
      </c>
      <c r="C9" s="21"/>
      <c r="D9" s="4"/>
      <c r="E9" s="4"/>
      <c r="F9" s="4"/>
      <c r="G9" s="4"/>
      <c r="H9" s="2"/>
      <c r="I9" s="2"/>
      <c r="J9" s="2"/>
      <c r="K9" s="2"/>
      <c r="L9" s="2"/>
      <c r="M9" s="2"/>
      <c r="N9" s="2"/>
      <c r="O9" s="2"/>
      <c r="P9" s="2"/>
      <c r="Q9" s="2"/>
      <c r="R9" s="2"/>
      <c r="S9" s="2"/>
      <c r="T9" s="2"/>
      <c r="U9" s="2"/>
      <c r="V9" s="2"/>
      <c r="W9" s="2"/>
      <c r="X9" s="2"/>
      <c r="Y9" s="2"/>
      <c r="Z9" s="2"/>
    </row>
    <row r="10" spans="1:26" ht="15.75">
      <c r="A10" s="4"/>
      <c r="B10" s="22"/>
      <c r="C10" s="16"/>
      <c r="D10" s="4"/>
      <c r="E10" s="4"/>
      <c r="F10" s="4"/>
      <c r="G10" s="4"/>
      <c r="H10" s="2"/>
      <c r="I10" s="2"/>
      <c r="J10" s="2"/>
      <c r="K10" s="2"/>
      <c r="L10" s="2"/>
      <c r="M10" s="2"/>
      <c r="N10" s="2"/>
      <c r="O10" s="2"/>
      <c r="P10" s="2"/>
      <c r="Q10" s="2"/>
      <c r="R10" s="2"/>
      <c r="S10" s="2"/>
      <c r="T10" s="2"/>
      <c r="U10" s="2"/>
      <c r="V10" s="2"/>
      <c r="W10" s="2"/>
      <c r="X10" s="2"/>
      <c r="Y10" s="2"/>
      <c r="Z10" s="2"/>
    </row>
    <row r="11" spans="1:26" ht="15.75">
      <c r="A11" s="4"/>
      <c r="B11" s="4"/>
      <c r="C11" s="16"/>
      <c r="D11" s="4"/>
      <c r="E11" s="4"/>
      <c r="F11" s="4"/>
      <c r="G11" s="4"/>
      <c r="H11" s="2"/>
      <c r="I11" s="2"/>
      <c r="J11" s="2"/>
      <c r="K11" s="2"/>
      <c r="L11" s="2"/>
      <c r="M11" s="2"/>
      <c r="N11" s="2"/>
      <c r="O11" s="2"/>
      <c r="P11" s="2"/>
      <c r="Q11" s="2"/>
      <c r="R11" s="2"/>
      <c r="S11" s="2"/>
      <c r="T11" s="2"/>
      <c r="U11" s="2"/>
      <c r="V11" s="2"/>
      <c r="W11" s="2"/>
      <c r="X11" s="2"/>
      <c r="Y11" s="2"/>
      <c r="Z11" s="2"/>
    </row>
    <row r="12" spans="1:26" ht="15.75">
      <c r="A12" s="3" t="s">
        <v>170</v>
      </c>
      <c r="B12" s="4" t="s">
        <v>171</v>
      </c>
      <c r="C12" s="16"/>
      <c r="D12" s="4"/>
      <c r="E12" s="4"/>
      <c r="F12" s="4"/>
      <c r="G12" s="4"/>
      <c r="H12" s="2"/>
      <c r="I12" s="2"/>
      <c r="J12" s="2"/>
      <c r="K12" s="2"/>
      <c r="L12" s="2"/>
      <c r="M12" s="2"/>
      <c r="N12" s="2"/>
      <c r="O12" s="2"/>
      <c r="P12" s="2"/>
      <c r="Q12" s="2"/>
      <c r="R12" s="2"/>
      <c r="S12" s="2"/>
      <c r="T12" s="2"/>
      <c r="U12" s="2"/>
      <c r="V12" s="2"/>
      <c r="W12" s="2"/>
      <c r="X12" s="2"/>
      <c r="Y12" s="2"/>
      <c r="Z12" s="2"/>
    </row>
    <row r="13" spans="1:26" ht="15.75">
      <c r="A13" s="4"/>
      <c r="B13" s="4" t="s">
        <v>172</v>
      </c>
      <c r="C13" s="16"/>
      <c r="D13" s="4"/>
      <c r="E13" s="4"/>
      <c r="F13" s="4"/>
      <c r="G13" s="4"/>
      <c r="H13" s="2"/>
      <c r="I13" s="2"/>
      <c r="J13" s="2"/>
      <c r="K13" s="2"/>
      <c r="L13" s="2"/>
      <c r="M13" s="2"/>
      <c r="N13" s="2"/>
      <c r="O13" s="2"/>
      <c r="P13" s="2"/>
      <c r="Q13" s="2"/>
      <c r="R13" s="2"/>
      <c r="S13" s="2"/>
      <c r="T13" s="2"/>
      <c r="U13" s="2"/>
      <c r="V13" s="2"/>
      <c r="W13" s="2"/>
      <c r="X13" s="2"/>
      <c r="Y13" s="2"/>
      <c r="Z13" s="2"/>
    </row>
    <row r="14" spans="1:26" ht="15.75">
      <c r="A14" s="4"/>
      <c r="B14" s="4" t="s">
        <v>173</v>
      </c>
      <c r="C14" s="16"/>
      <c r="D14" s="4"/>
      <c r="E14" s="4"/>
      <c r="F14" s="4"/>
      <c r="G14" s="4"/>
      <c r="H14" s="2"/>
      <c r="I14" s="2"/>
      <c r="J14" s="2"/>
      <c r="K14" s="2"/>
      <c r="L14" s="2"/>
      <c r="M14" s="2"/>
      <c r="N14" s="2"/>
      <c r="O14" s="2"/>
      <c r="P14" s="2"/>
      <c r="Q14" s="2"/>
      <c r="R14" s="2"/>
      <c r="S14" s="2"/>
      <c r="T14" s="2"/>
      <c r="U14" s="2"/>
      <c r="V14" s="2"/>
      <c r="W14" s="2"/>
      <c r="X14" s="2"/>
      <c r="Y14" s="2"/>
      <c r="Z14" s="2"/>
    </row>
    <row r="15" spans="1:26" ht="15.75">
      <c r="A15" s="4"/>
      <c r="B15" s="4" t="s">
        <v>174</v>
      </c>
      <c r="C15" s="16"/>
      <c r="D15" s="4"/>
      <c r="E15" s="4"/>
      <c r="F15" s="4"/>
      <c r="G15" s="4"/>
      <c r="H15" s="2"/>
      <c r="I15" s="2"/>
      <c r="J15" s="2"/>
      <c r="K15" s="2"/>
      <c r="L15" s="2"/>
      <c r="M15" s="2"/>
      <c r="N15" s="2"/>
      <c r="O15" s="2"/>
      <c r="P15" s="2"/>
      <c r="Q15" s="2"/>
      <c r="R15" s="2"/>
      <c r="S15" s="2"/>
      <c r="T15" s="2"/>
      <c r="U15" s="2"/>
      <c r="V15" s="2"/>
      <c r="W15" s="2"/>
      <c r="X15" s="2"/>
      <c r="Y15" s="2"/>
      <c r="Z15" s="2"/>
    </row>
    <row r="16" spans="1:26" ht="15.75">
      <c r="A16" s="4"/>
      <c r="B16" s="4" t="s">
        <v>175</v>
      </c>
      <c r="C16" s="16"/>
      <c r="D16" s="4"/>
      <c r="E16" s="4"/>
      <c r="F16" s="4"/>
      <c r="G16" s="4"/>
      <c r="H16" s="2"/>
      <c r="I16" s="2"/>
      <c r="J16" s="2"/>
      <c r="K16" s="2"/>
      <c r="L16" s="2"/>
      <c r="M16" s="2"/>
      <c r="N16" s="2"/>
      <c r="O16" s="2"/>
      <c r="P16" s="2"/>
      <c r="Q16" s="2"/>
      <c r="R16" s="2"/>
      <c r="S16" s="2"/>
      <c r="T16" s="2"/>
      <c r="U16" s="2"/>
      <c r="V16" s="2"/>
      <c r="W16" s="2"/>
      <c r="X16" s="2"/>
      <c r="Y16" s="2"/>
      <c r="Z16" s="2"/>
    </row>
    <row r="17" spans="1:26" ht="15.75">
      <c r="A17" s="4"/>
      <c r="B17" s="4"/>
      <c r="C17" s="16"/>
      <c r="D17" s="4"/>
      <c r="E17" s="4"/>
      <c r="F17" s="4"/>
      <c r="G17" s="4"/>
      <c r="H17" s="2"/>
      <c r="I17" s="2"/>
      <c r="J17" s="2"/>
      <c r="K17" s="2"/>
      <c r="L17" s="2"/>
      <c r="M17" s="2"/>
      <c r="N17" s="2"/>
      <c r="O17" s="2"/>
      <c r="P17" s="2"/>
      <c r="Q17" s="2"/>
      <c r="R17" s="2"/>
      <c r="S17" s="2"/>
      <c r="T17" s="2"/>
      <c r="U17" s="2"/>
      <c r="V17" s="2"/>
      <c r="W17" s="2"/>
      <c r="X17" s="2"/>
      <c r="Y17" s="2"/>
      <c r="Z17" s="2"/>
    </row>
    <row r="18" spans="1:26" ht="15.75">
      <c r="A18" s="38" t="s">
        <v>84</v>
      </c>
      <c r="B18" s="38" t="s">
        <v>176</v>
      </c>
      <c r="C18" s="38" t="s">
        <v>177</v>
      </c>
      <c r="D18" s="38" t="s">
        <v>178</v>
      </c>
      <c r="E18" s="39"/>
      <c r="F18" s="2"/>
      <c r="G18" s="2"/>
      <c r="H18" s="2"/>
      <c r="I18" s="2"/>
      <c r="J18" s="2"/>
      <c r="K18" s="2"/>
      <c r="L18" s="2"/>
      <c r="M18" s="2"/>
      <c r="N18" s="2"/>
      <c r="O18" s="2"/>
      <c r="P18" s="2"/>
      <c r="Q18" s="2"/>
      <c r="R18" s="2"/>
      <c r="S18" s="2"/>
      <c r="T18" s="2"/>
      <c r="U18" s="2"/>
      <c r="V18" s="2"/>
      <c r="W18" s="2"/>
      <c r="X18" s="2"/>
      <c r="Y18" s="2"/>
      <c r="Z18" s="2"/>
    </row>
    <row r="19" spans="1:26" ht="40.5" customHeight="1">
      <c r="A19" s="40">
        <v>1</v>
      </c>
      <c r="B19" s="42"/>
      <c r="C19" s="42"/>
      <c r="D19" s="69"/>
      <c r="E19" s="2"/>
      <c r="F19" s="2"/>
      <c r="G19" s="2"/>
      <c r="H19" s="2"/>
      <c r="I19" s="2"/>
      <c r="J19" s="2"/>
      <c r="K19" s="2"/>
      <c r="L19" s="2"/>
      <c r="M19" s="2"/>
      <c r="N19" s="2"/>
      <c r="O19" s="2"/>
      <c r="P19" s="2"/>
      <c r="Q19" s="2"/>
      <c r="R19" s="2"/>
      <c r="S19" s="2"/>
      <c r="T19" s="2"/>
      <c r="U19" s="2"/>
      <c r="V19" s="2"/>
      <c r="W19" s="2"/>
      <c r="X19" s="2"/>
      <c r="Y19" s="2"/>
      <c r="Z19" s="2"/>
    </row>
    <row r="20" spans="1:26" ht="15.75">
      <c r="A20" s="4"/>
      <c r="B20" s="4"/>
      <c r="C20" s="4"/>
      <c r="D20" s="4"/>
      <c r="E20" s="4"/>
      <c r="F20" s="4"/>
      <c r="G20" s="4"/>
      <c r="H20" s="2"/>
      <c r="I20" s="2"/>
      <c r="J20" s="2"/>
      <c r="K20" s="2"/>
      <c r="L20" s="2"/>
      <c r="M20" s="2"/>
      <c r="N20" s="2"/>
      <c r="O20" s="2"/>
      <c r="P20" s="2"/>
      <c r="Q20" s="2"/>
      <c r="R20" s="2"/>
      <c r="S20" s="2"/>
      <c r="T20" s="2"/>
      <c r="U20" s="2"/>
      <c r="V20" s="2"/>
      <c r="W20" s="2"/>
      <c r="X20" s="2"/>
      <c r="Y20" s="2"/>
      <c r="Z20" s="2"/>
    </row>
    <row r="21" spans="1:26" ht="15.75" customHeight="1">
      <c r="A21" s="4"/>
      <c r="B21" s="4"/>
      <c r="C21" s="3" t="s">
        <v>179</v>
      </c>
      <c r="D21" s="60">
        <f>D19</f>
        <v>0</v>
      </c>
      <c r="E21" s="60"/>
      <c r="F21" s="4"/>
      <c r="G21" s="4"/>
      <c r="H21" s="2"/>
      <c r="I21" s="2"/>
      <c r="J21" s="2"/>
      <c r="K21" s="2"/>
      <c r="L21" s="2"/>
      <c r="M21" s="2"/>
      <c r="N21" s="2"/>
      <c r="O21" s="2"/>
      <c r="P21" s="2"/>
      <c r="Q21" s="2"/>
      <c r="R21" s="2"/>
      <c r="S21" s="2"/>
      <c r="T21" s="2"/>
      <c r="U21" s="2"/>
      <c r="V21" s="2"/>
      <c r="W21" s="2"/>
      <c r="X21" s="2"/>
      <c r="Y21" s="2"/>
      <c r="Z21" s="2"/>
    </row>
    <row r="22" spans="1:26" ht="15.75" customHeight="1">
      <c r="A22" s="2"/>
      <c r="B22" s="2"/>
      <c r="C22" s="2"/>
      <c r="D22" s="2"/>
      <c r="E22" s="61"/>
      <c r="F22" s="2"/>
      <c r="G22" s="2"/>
      <c r="H22" s="2"/>
      <c r="I22" s="2"/>
      <c r="J22" s="2"/>
      <c r="K22" s="2"/>
      <c r="L22" s="2"/>
      <c r="M22" s="2"/>
      <c r="N22" s="2"/>
      <c r="O22" s="2"/>
      <c r="P22" s="2"/>
      <c r="Q22" s="2"/>
      <c r="R22" s="2"/>
      <c r="S22" s="2"/>
      <c r="T22" s="2"/>
      <c r="U22" s="2"/>
      <c r="V22" s="2"/>
      <c r="W22" s="2"/>
      <c r="X22" s="2"/>
      <c r="Y22" s="2"/>
      <c r="Z22" s="2"/>
    </row>
    <row r="23" spans="1:26" ht="15.75" customHeight="1">
      <c r="A23" s="2"/>
      <c r="B23" s="2"/>
      <c r="C23" s="2"/>
      <c r="D23" s="2"/>
      <c r="E23" s="61"/>
      <c r="F23" s="2"/>
      <c r="G23" s="2"/>
      <c r="H23" s="2"/>
      <c r="I23" s="2"/>
      <c r="J23" s="2"/>
      <c r="K23" s="2"/>
      <c r="L23" s="2"/>
      <c r="M23" s="2"/>
      <c r="N23" s="2"/>
      <c r="O23" s="2"/>
      <c r="P23" s="2"/>
      <c r="Q23" s="2"/>
      <c r="R23" s="2"/>
      <c r="S23" s="2"/>
      <c r="T23" s="2"/>
      <c r="U23" s="2"/>
      <c r="V23" s="2"/>
      <c r="W23" s="2"/>
      <c r="X23" s="2"/>
      <c r="Y23" s="2"/>
      <c r="Z23" s="2"/>
    </row>
    <row r="24" spans="1:26" ht="15.75" customHeight="1">
      <c r="A24" s="2"/>
      <c r="B24" s="2"/>
      <c r="C24" s="2"/>
      <c r="D24" s="2"/>
      <c r="E24" s="61"/>
      <c r="F24" s="2"/>
      <c r="G24" s="2"/>
      <c r="H24" s="2"/>
      <c r="I24" s="2"/>
      <c r="J24" s="2"/>
      <c r="K24" s="2"/>
      <c r="L24" s="2"/>
      <c r="M24" s="2"/>
      <c r="N24" s="2"/>
      <c r="O24" s="2"/>
      <c r="P24" s="2"/>
      <c r="Q24" s="2"/>
      <c r="R24" s="2"/>
      <c r="S24" s="2"/>
      <c r="T24" s="2"/>
      <c r="U24" s="2"/>
      <c r="V24" s="2"/>
      <c r="W24" s="2"/>
      <c r="X24" s="2"/>
      <c r="Y24" s="2"/>
      <c r="Z24" s="2"/>
    </row>
    <row r="25" spans="1:26" ht="15.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A1:F1"/>
  </mergeCells>
  <dataValidations count="2">
    <dataValidation type="custom" allowBlank="1" showInputMessage="1" showErrorMessage="1" prompt="Please correct Project # to be in the format of D12345678." sqref="E22" xr:uid="{00000000-0002-0000-0500-000000000000}">
      <formula1>AND(ISNUMBER(SEARCH(LEFT(#REF!,1), "ABCDEFGHIJKLNPRSVW")), ISNUMBER(MID(#REF!,2,LEN(#REF!))+0), LEN(#REF!)=9)</formula1>
    </dataValidation>
    <dataValidation type="custom" allowBlank="1" showInputMessage="1" showErrorMessage="1" prompt="wrong" sqref="E23" xr:uid="{00000000-0002-0000-0500-000003000000}">
      <formula1>AND(ISNUMBER(SEARCH(LEFT(#REF!,1), "ABCDEFGHIJKLNPRSVW")), ISNUMBER(MID(#REF!,2,LEN(#REF!))+0), LEN(#REF!)&lt;10)</formula1>
    </dataValidation>
  </dataValidations>
  <pageMargins left="0.7" right="0.7" top="0.75" bottom="0.75" header="0" footer="0"/>
  <pageSetup scale="90" orientation="portrait"/>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prompt="This is a simple &quot;Yes&quot; or &quot;No&quot; question." xr:uid="{00000000-0002-0000-0500-000001000000}">
          <x14:formula1>
            <xm:f>Sheet3!$E$2:$E$3</xm:f>
          </x14:formula1>
          <xm:sqref>C9</xm:sqref>
        </x14:dataValidation>
        <x14:dataValidation type="list" allowBlank="1" showInputMessage="1" showErrorMessage="1" prompt="Please choose from list" xr:uid="{00000000-0002-0000-0500-000002000000}">
          <x14:formula1>
            <xm:f>Sheet3!$K$2:$K$8</xm:f>
          </x14:formula1>
          <xm:sqref>E2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R1000"/>
  <sheetViews>
    <sheetView workbookViewId="0"/>
  </sheetViews>
  <sheetFormatPr defaultColWidth="12.625" defaultRowHeight="15" customHeight="1"/>
  <cols>
    <col min="1" max="1" width="7.625" customWidth="1"/>
    <col min="2" max="2" width="11.375" customWidth="1"/>
    <col min="3" max="3" width="17.5" customWidth="1"/>
    <col min="4" max="4" width="18.875" customWidth="1"/>
    <col min="5" max="5" width="16.125" customWidth="1"/>
    <col min="6" max="6" width="15.5" customWidth="1"/>
    <col min="7" max="7" width="10.5" customWidth="1"/>
    <col min="8" max="8" width="8.5" customWidth="1"/>
    <col min="9" max="9" width="9" customWidth="1"/>
    <col min="10" max="10" width="10.875" customWidth="1"/>
    <col min="11" max="11" width="9.875" customWidth="1"/>
    <col min="12" max="12" width="10" customWidth="1"/>
    <col min="13" max="13" width="7.625" customWidth="1"/>
    <col min="14" max="14" width="12.5" customWidth="1"/>
    <col min="15" max="15" width="7.625" customWidth="1"/>
    <col min="16" max="16" width="7.5" customWidth="1"/>
    <col min="17" max="26" width="7.625" customWidth="1"/>
  </cols>
  <sheetData>
    <row r="1" spans="2:18">
      <c r="J1" s="70"/>
      <c r="K1" s="70"/>
      <c r="P1" s="71"/>
    </row>
    <row r="2" spans="2:18" ht="141">
      <c r="C2" s="72" t="s">
        <v>180</v>
      </c>
      <c r="D2" s="73" t="s">
        <v>181</v>
      </c>
      <c r="E2" s="73" t="s">
        <v>182</v>
      </c>
      <c r="F2" s="72" t="s">
        <v>183</v>
      </c>
      <c r="G2" s="74" t="s">
        <v>184</v>
      </c>
      <c r="H2" s="75" t="s">
        <v>185</v>
      </c>
      <c r="I2" s="73" t="s">
        <v>186</v>
      </c>
      <c r="J2" s="76" t="s">
        <v>187</v>
      </c>
      <c r="K2" s="76" t="s">
        <v>9</v>
      </c>
      <c r="L2" s="73" t="s">
        <v>188</v>
      </c>
      <c r="M2" s="72" t="s">
        <v>189</v>
      </c>
      <c r="N2" s="77" t="s">
        <v>190</v>
      </c>
      <c r="P2" s="71"/>
    </row>
    <row r="3" spans="2:18" ht="65.25" customHeight="1">
      <c r="B3" s="78" t="s">
        <v>191</v>
      </c>
      <c r="C3" s="79"/>
      <c r="D3" s="79" t="str">
        <f>'Under $10k'!C6&amp;"/"&amp;'Under $10k'!C8</f>
        <v>W1246.01.00.00.00005/W1246.01.00.00.00005</v>
      </c>
      <c r="E3" s="79" t="str">
        <f>IF(LEN('Under $10k'!C7)&lt;10,LEFT('Under $10k'!C7,5)&amp;"."&amp;LEFT(RIGHT('Under $10k'!C7,4),1)&amp;"."&amp;LEFT(RIGHT('Under $10k'!C7,3),1)&amp;"."&amp;LEFT(RIGHT('Under $10k'!C7,2),1)&amp;"."&amp;LEFT(RIGHT('Under $10k'!C7,1),1),'Under $10k'!C7)</f>
        <v>W1246.01.00.00.00005</v>
      </c>
      <c r="F3" s="79" t="str">
        <f>'Under $10k'!C10</f>
        <v>Digikey</v>
      </c>
      <c r="G3" s="79"/>
      <c r="H3" s="80"/>
      <c r="I3" s="79" t="str">
        <f>"/"&amp;"PO- "&amp;"/"&amp;'Under $10k'!C27&amp;"/"</f>
        <v>/PO- //</v>
      </c>
      <c r="J3" s="81">
        <f>'Under $10k'!E58</f>
        <v>201.67</v>
      </c>
      <c r="K3" s="79" t="str">
        <f>'Under $10k'!E2</f>
        <v>TEN</v>
      </c>
      <c r="L3" s="79" t="str">
        <f>'Under $10k'!C25&amp;"/"&amp;'Under $10k'!C26&amp;"/"&amp;'Under $10k'!C4</f>
        <v>430N 10th ST/Bay 9/7-8638</v>
      </c>
      <c r="M3" s="79" t="str">
        <f>'Under $10k'!C2</f>
        <v>Mick West</v>
      </c>
      <c r="N3" s="82" t="str">
        <f>IF(ISBLANK('Under $10k'!G2),"",'Under $10k'!G2)</f>
        <v/>
      </c>
      <c r="O3" s="83"/>
      <c r="P3" s="71"/>
      <c r="R3" s="79"/>
    </row>
    <row r="4" spans="2:18" ht="65.25" customHeight="1">
      <c r="B4" s="78" t="s">
        <v>221</v>
      </c>
      <c r="C4" s="79"/>
      <c r="D4" s="79" t="str">
        <f>'Soft Bid'!C6&amp;"/"&amp;'Soft Bid'!C8</f>
        <v>/</v>
      </c>
      <c r="E4" s="79" t="str">
        <f>IF(LEN('Soft Bid'!C7)&lt;10,LEFT('Soft Bid'!C7,5)&amp;"."&amp;LEFT(RIGHT('Soft Bid'!C7,4),1)&amp;"."&amp;LEFT(RIGHT('Soft Bid'!C7,3),1)&amp;"."&amp;LEFT(RIGHT('Soft Bid'!C7,2),1)&amp;"."&amp;LEFT(RIGHT('Soft Bid'!C7,1),1),'Soft Bid'!C7)</f>
        <v>....</v>
      </c>
      <c r="F4" s="79">
        <f>'Soft Bid'!C10</f>
        <v>0</v>
      </c>
      <c r="G4" s="79"/>
      <c r="H4" s="80"/>
      <c r="I4" s="79" t="str">
        <f>"/"&amp;"PO- "&amp;"/"&amp;"/"&amp;'Soft Bid'!C28&amp;"/"</f>
        <v>/PO- ///</v>
      </c>
      <c r="J4" s="81">
        <f>'Soft Bid'!E59</f>
        <v>0</v>
      </c>
      <c r="K4" s="79">
        <f>'Soft Bid'!E2</f>
        <v>0</v>
      </c>
      <c r="L4" s="79" t="str">
        <f>'Soft Bid'!C26&amp;"/"&amp;'Soft Bid'!C27&amp;"/"&amp;'Soft Bid'!C4</f>
        <v>//</v>
      </c>
      <c r="M4" s="79">
        <f>'Soft Bid'!C2</f>
        <v>0</v>
      </c>
      <c r="N4" s="82" t="str">
        <f>IF(ISBLANK('Soft Bid'!G2),"",'Soft Bid'!G2)</f>
        <v/>
      </c>
      <c r="P4" s="71"/>
    </row>
    <row r="5" spans="2:18" ht="65.25" customHeight="1">
      <c r="B5" s="78" t="s">
        <v>222</v>
      </c>
      <c r="C5" s="79"/>
      <c r="D5" s="79" t="str">
        <f>'Open Bid'!C6&amp;"/"&amp;'Open Bid'!C8</f>
        <v>/</v>
      </c>
      <c r="E5" s="79" t="str">
        <f>IF(LEN('Open Bid'!C7)&lt;10,LEFT('Open Bid'!C7,5)&amp;"."&amp;LEFT(RIGHT('Open Bid'!C7,4),1)&amp;"."&amp;LEFT(RIGHT('Open Bid'!C7,3),1)&amp;"."&amp;LEFT(RIGHT('Open Bid'!C7,2),1)&amp;"."&amp;LEFT(RIGHT('Open Bid'!C7,1),1),'Open Bid'!C7)</f>
        <v>....</v>
      </c>
      <c r="F5" s="79"/>
      <c r="G5" s="79"/>
      <c r="H5" s="80"/>
      <c r="I5" s="79" t="str">
        <f>"/"&amp;"PO- "&amp;"/"&amp;"/"&amp;'Open Bid'!C29&amp;"/"</f>
        <v>/PO- ///</v>
      </c>
      <c r="J5" s="81">
        <f>'Open Bid'!C15</f>
        <v>0</v>
      </c>
      <c r="K5" s="79">
        <f>'Open Bid'!E2</f>
        <v>0</v>
      </c>
      <c r="L5" s="79" t="str">
        <f>'Open Bid'!C27&amp;"/"&amp;'Open Bid'!C28&amp;"/"&amp;'Open Bid'!C4</f>
        <v>//</v>
      </c>
      <c r="M5" s="79">
        <f>'Open Bid'!C2</f>
        <v>0</v>
      </c>
      <c r="N5" s="82" t="str">
        <f>IF(ISBLANK('Open Bid'!G2),"",'Open Bid'!G2)</f>
        <v/>
      </c>
      <c r="P5" s="71"/>
    </row>
    <row r="6" spans="2:18" ht="65.25" customHeight="1">
      <c r="B6" s="78" t="s">
        <v>223</v>
      </c>
      <c r="C6" s="79"/>
      <c r="D6" s="79" t="str">
        <f>'Sole Source'!C6&amp;"/"&amp;'Sole Source'!C8</f>
        <v>/</v>
      </c>
      <c r="E6" s="79" t="str">
        <f>IF(LEN('Sole Source'!C7)&lt;10,LEFT('Sole Source'!C7,5)&amp;"."&amp;LEFT(RIGHT('Sole Source'!C7,4),1)&amp;"."&amp;LEFT(RIGHT('Sole Source'!C7,3),1)&amp;"."&amp;LEFT(RIGHT('Sole Source'!C7,2),1)&amp;"."&amp;LEFT(RIGHT('Sole Source'!C7,1),1),'Sole Source'!C7)</f>
        <v>....</v>
      </c>
      <c r="F6" s="79">
        <f>'Sole Source'!C19</f>
        <v>0</v>
      </c>
      <c r="G6" s="79"/>
      <c r="H6" s="80"/>
      <c r="I6" s="79" t="str">
        <f>"/"&amp;"PO- "&amp;"/"&amp;"/"&amp;'Sole Source'!C24&amp;"/"</f>
        <v>/PO- ///</v>
      </c>
      <c r="J6" s="81">
        <f>'Sole Source'!E54</f>
        <v>0</v>
      </c>
      <c r="K6" s="79">
        <f>'Sole Source'!E2</f>
        <v>0</v>
      </c>
      <c r="L6" s="79" t="str">
        <f>'Sole Source'!C22&amp;"/"&amp;'Sole Source'!C23&amp;"/"&amp;'Sole Source'!C4</f>
        <v>//</v>
      </c>
      <c r="M6" s="79">
        <f>'Sole Source'!C2</f>
        <v>0</v>
      </c>
      <c r="N6" s="82" t="str">
        <f>IF(ISBLANK('Sole Source'!G2),"",'Sole Source'!G2)</f>
        <v/>
      </c>
      <c r="P6" s="71"/>
    </row>
    <row r="7" spans="2:18" ht="65.25" customHeight="1">
      <c r="B7" s="78" t="s">
        <v>224</v>
      </c>
      <c r="C7" s="79"/>
      <c r="D7" s="79" t="str">
        <f>Contractor!C6&amp;"/"&amp;" 751110"</f>
        <v>/ 751110</v>
      </c>
      <c r="E7" s="79" t="str">
        <f>IF(LEN(Contractor!C6)&lt;10,LEFT(Contractor!C6,5)&amp;"."&amp;LEFT(RIGHT(Contractor!C6,4),1)&amp;"."&amp;LEFT(RIGHT(Contractor!C6,3),1)&amp;"."&amp;LEFT(RIGHT(Contractor!C6,2),1)&amp;"."&amp;LEFT(RIGHT(Contractor!C6,1),1),Contractor!C6)</f>
        <v>....</v>
      </c>
      <c r="F7" s="79" t="s">
        <v>225</v>
      </c>
      <c r="G7" s="79"/>
      <c r="H7" s="80"/>
      <c r="I7" s="79" t="s">
        <v>226</v>
      </c>
      <c r="J7" s="81">
        <f>Contractor!D21</f>
        <v>0</v>
      </c>
      <c r="K7" s="79">
        <f>Contractor!E2</f>
        <v>0</v>
      </c>
      <c r="L7" s="79" t="str">
        <f>IF(ISBLANK(Contractor!C4),"",Contractor!C4)</f>
        <v/>
      </c>
      <c r="M7" s="79" t="str">
        <f>Contractor!C7&amp;"/"&amp;Contractor!C2</f>
        <v>/</v>
      </c>
      <c r="N7" s="82" t="str">
        <f>IF(ISBLANK(Contractor!C8),"",Contractor!C8&amp;IF(ISBLANK(Contractor!G2),""," / "&amp;Contractor!G2))</f>
        <v/>
      </c>
      <c r="P7" s="71"/>
    </row>
    <row r="8" spans="2:18">
      <c r="P8" s="71"/>
    </row>
    <row r="9" spans="2:18">
      <c r="P9" s="71"/>
    </row>
    <row r="10" spans="2:18">
      <c r="P10" s="71"/>
    </row>
    <row r="11" spans="2:18">
      <c r="P11" s="71"/>
    </row>
    <row r="12" spans="2:18">
      <c r="P12" s="71"/>
    </row>
    <row r="13" spans="2:18">
      <c r="P13" s="71"/>
    </row>
    <row r="14" spans="2:18">
      <c r="P14" s="71"/>
    </row>
    <row r="15" spans="2:18">
      <c r="P15" s="71"/>
    </row>
    <row r="16" spans="2:18">
      <c r="P16" s="71"/>
    </row>
    <row r="17" spans="16:16">
      <c r="P17" s="71"/>
    </row>
    <row r="18" spans="16:16">
      <c r="P18" s="71"/>
    </row>
    <row r="19" spans="16:16">
      <c r="P19" s="71"/>
    </row>
    <row r="20" spans="16:16">
      <c r="P20" s="71"/>
    </row>
    <row r="21" spans="16:16" ht="15.75" customHeight="1">
      <c r="P21" s="71"/>
    </row>
    <row r="22" spans="16:16" ht="15.75" customHeight="1">
      <c r="P22" s="71"/>
    </row>
    <row r="23" spans="16:16" ht="15.75" customHeight="1">
      <c r="P23" s="71"/>
    </row>
    <row r="24" spans="16:16" ht="15.75" customHeight="1">
      <c r="P24" s="71"/>
    </row>
    <row r="25" spans="16:16" ht="15.75" customHeight="1">
      <c r="P25" s="71"/>
    </row>
    <row r="26" spans="16:16" ht="15.75" customHeight="1">
      <c r="P26" s="71"/>
    </row>
    <row r="27" spans="16:16" ht="15.75" customHeight="1">
      <c r="P27" s="71"/>
    </row>
    <row r="28" spans="16:16" ht="15.75" customHeight="1">
      <c r="P28" s="71"/>
    </row>
    <row r="29" spans="16:16" ht="15.75" customHeight="1">
      <c r="P29" s="71"/>
    </row>
    <row r="30" spans="16:16" ht="15.75" customHeight="1">
      <c r="P30" s="71"/>
    </row>
    <row r="31" spans="16:16" ht="15.75" customHeight="1">
      <c r="P31" s="71"/>
    </row>
    <row r="32" spans="16:16" ht="15.75" customHeight="1">
      <c r="P32" s="71"/>
    </row>
    <row r="33" spans="16:16" ht="15.75" customHeight="1">
      <c r="P33" s="71"/>
    </row>
    <row r="34" spans="16:16" ht="15.75" customHeight="1">
      <c r="P34" s="71"/>
    </row>
    <row r="35" spans="16:16" ht="15.75" customHeight="1">
      <c r="P35" s="71"/>
    </row>
    <row r="36" spans="16:16" ht="15.75" customHeight="1">
      <c r="P36" s="71"/>
    </row>
    <row r="37" spans="16:16" ht="15.75" customHeight="1">
      <c r="P37" s="71"/>
    </row>
    <row r="38" spans="16:16" ht="15.75" customHeight="1">
      <c r="P38" s="71"/>
    </row>
    <row r="39" spans="16:16" ht="15.75" customHeight="1">
      <c r="P39" s="71"/>
    </row>
    <row r="40" spans="16:16" ht="15.75" customHeight="1">
      <c r="P40" s="71"/>
    </row>
    <row r="41" spans="16:16" ht="15.75" customHeight="1">
      <c r="P41" s="71"/>
    </row>
    <row r="42" spans="16:16" ht="15.75" customHeight="1">
      <c r="P42" s="71"/>
    </row>
    <row r="43" spans="16:16" ht="15.75" customHeight="1">
      <c r="P43" s="71"/>
    </row>
    <row r="44" spans="16:16" ht="15.75" customHeight="1">
      <c r="P44" s="71"/>
    </row>
    <row r="45" spans="16:16" ht="15.75" customHeight="1">
      <c r="P45" s="71"/>
    </row>
    <row r="46" spans="16:16" ht="15.75" customHeight="1">
      <c r="P46" s="71"/>
    </row>
    <row r="47" spans="16:16" ht="15.75" customHeight="1">
      <c r="P47" s="71"/>
    </row>
    <row r="48" spans="16:16" ht="15.75" customHeight="1">
      <c r="P48" s="71"/>
    </row>
    <row r="49" spans="16:16" ht="15.75" customHeight="1">
      <c r="P49" s="71"/>
    </row>
    <row r="50" spans="16:16" ht="15.75" customHeight="1">
      <c r="P50" s="71"/>
    </row>
    <row r="51" spans="16:16" ht="15.75" customHeight="1">
      <c r="P51" s="71"/>
    </row>
    <row r="52" spans="16:16" ht="15.75" customHeight="1">
      <c r="P52" s="71"/>
    </row>
    <row r="53" spans="16:16" ht="15.75" customHeight="1">
      <c r="P53" s="71"/>
    </row>
    <row r="54" spans="16:16" ht="15.75" customHeight="1">
      <c r="P54" s="71"/>
    </row>
    <row r="55" spans="16:16" ht="15.75" customHeight="1">
      <c r="P55" s="71"/>
    </row>
    <row r="56" spans="16:16" ht="15.75" customHeight="1">
      <c r="P56" s="71"/>
    </row>
    <row r="57" spans="16:16" ht="15.75" customHeight="1">
      <c r="P57" s="71"/>
    </row>
    <row r="58" spans="16:16" ht="15.75" customHeight="1">
      <c r="P58" s="71"/>
    </row>
    <row r="59" spans="16:16" ht="15.75" customHeight="1">
      <c r="P59" s="71"/>
    </row>
    <row r="60" spans="16:16" ht="15.75" customHeight="1">
      <c r="P60" s="71"/>
    </row>
    <row r="61" spans="16:16" ht="15.75" customHeight="1">
      <c r="P61" s="71"/>
    </row>
    <row r="62" spans="16:16" ht="15.75" customHeight="1">
      <c r="P62" s="71"/>
    </row>
    <row r="63" spans="16:16" ht="15.75" customHeight="1">
      <c r="P63" s="71"/>
    </row>
    <row r="64" spans="16:16" ht="15.75" customHeight="1">
      <c r="P64" s="71"/>
    </row>
    <row r="65" spans="16:16" ht="15.75" customHeight="1">
      <c r="P65" s="71"/>
    </row>
    <row r="66" spans="16:16" ht="15.75" customHeight="1">
      <c r="P66" s="71"/>
    </row>
    <row r="67" spans="16:16" ht="15.75" customHeight="1">
      <c r="P67" s="71"/>
    </row>
    <row r="68" spans="16:16" ht="15.75" customHeight="1">
      <c r="P68" s="71"/>
    </row>
    <row r="69" spans="16:16" ht="15.75" customHeight="1">
      <c r="P69" s="71"/>
    </row>
    <row r="70" spans="16:16" ht="15.75" customHeight="1">
      <c r="P70" s="71"/>
    </row>
    <row r="71" spans="16:16" ht="15.75" customHeight="1">
      <c r="P71" s="71"/>
    </row>
    <row r="72" spans="16:16" ht="15.75" customHeight="1">
      <c r="P72" s="71"/>
    </row>
    <row r="73" spans="16:16" ht="15.75" customHeight="1">
      <c r="P73" s="71"/>
    </row>
    <row r="74" spans="16:16" ht="15.75" customHeight="1">
      <c r="P74" s="71"/>
    </row>
    <row r="75" spans="16:16" ht="15.75" customHeight="1">
      <c r="P75" s="71"/>
    </row>
    <row r="76" spans="16:16" ht="15.75" customHeight="1">
      <c r="P76" s="71"/>
    </row>
    <row r="77" spans="16:16" ht="15.75" customHeight="1">
      <c r="P77" s="71"/>
    </row>
    <row r="78" spans="16:16" ht="15.75" customHeight="1">
      <c r="P78" s="71"/>
    </row>
    <row r="79" spans="16:16" ht="15.75" customHeight="1">
      <c r="P79" s="71"/>
    </row>
    <row r="80" spans="16:16" ht="15.75" customHeight="1">
      <c r="P80" s="71"/>
    </row>
    <row r="81" spans="16:16" ht="15.75" customHeight="1">
      <c r="P81" s="71"/>
    </row>
    <row r="82" spans="16:16" ht="15.75" customHeight="1">
      <c r="P82" s="71"/>
    </row>
    <row r="83" spans="16:16" ht="15.75" customHeight="1">
      <c r="P83" s="71"/>
    </row>
    <row r="84" spans="16:16" ht="15.75" customHeight="1">
      <c r="P84" s="71"/>
    </row>
    <row r="85" spans="16:16" ht="15.75" customHeight="1">
      <c r="P85" s="71"/>
    </row>
    <row r="86" spans="16:16" ht="15.75" customHeight="1">
      <c r="P86" s="71"/>
    </row>
    <row r="87" spans="16:16" ht="15.75" customHeight="1">
      <c r="P87" s="71"/>
    </row>
    <row r="88" spans="16:16" ht="15.75" customHeight="1">
      <c r="P88" s="71"/>
    </row>
    <row r="89" spans="16:16" ht="15.75" customHeight="1">
      <c r="P89" s="71"/>
    </row>
    <row r="90" spans="16:16" ht="15.75" customHeight="1">
      <c r="P90" s="71"/>
    </row>
    <row r="91" spans="16:16" ht="15.75" customHeight="1">
      <c r="P91" s="71"/>
    </row>
    <row r="92" spans="16:16" ht="15.75" customHeight="1">
      <c r="P92" s="71"/>
    </row>
    <row r="93" spans="16:16" ht="15.75" customHeight="1">
      <c r="P93" s="71"/>
    </row>
    <row r="94" spans="16:16" ht="15.75" customHeight="1">
      <c r="P94" s="71"/>
    </row>
    <row r="95" spans="16:16" ht="15.75" customHeight="1">
      <c r="P95" s="71"/>
    </row>
    <row r="96" spans="16:16" ht="15.75" customHeight="1">
      <c r="P96" s="71"/>
    </row>
    <row r="97" spans="16:16" ht="15.75" customHeight="1">
      <c r="P97" s="71"/>
    </row>
    <row r="98" spans="16:16" ht="15.75" customHeight="1">
      <c r="P98" s="71"/>
    </row>
    <row r="99" spans="16:16" ht="15.75" customHeight="1">
      <c r="P99" s="71"/>
    </row>
    <row r="100" spans="16:16" ht="15.75" customHeight="1">
      <c r="P100" s="71"/>
    </row>
    <row r="101" spans="16:16" ht="15.75" customHeight="1">
      <c r="P101" s="71"/>
    </row>
    <row r="102" spans="16:16" ht="15.75" customHeight="1">
      <c r="P102" s="71"/>
    </row>
    <row r="103" spans="16:16" ht="15.75" customHeight="1">
      <c r="P103" s="71"/>
    </row>
    <row r="104" spans="16:16" ht="15.75" customHeight="1">
      <c r="P104" s="71"/>
    </row>
    <row r="105" spans="16:16" ht="15.75" customHeight="1">
      <c r="P105" s="71"/>
    </row>
    <row r="106" spans="16:16" ht="15.75" customHeight="1">
      <c r="P106" s="71"/>
    </row>
    <row r="107" spans="16:16" ht="15.75" customHeight="1">
      <c r="P107" s="71"/>
    </row>
    <row r="108" spans="16:16" ht="15.75" customHeight="1">
      <c r="P108" s="71"/>
    </row>
    <row r="109" spans="16:16" ht="15.75" customHeight="1">
      <c r="P109" s="71"/>
    </row>
    <row r="110" spans="16:16" ht="15.75" customHeight="1">
      <c r="P110" s="71"/>
    </row>
    <row r="111" spans="16:16" ht="15.75" customHeight="1">
      <c r="P111" s="71"/>
    </row>
    <row r="112" spans="16:16" ht="15.75" customHeight="1">
      <c r="P112" s="71"/>
    </row>
    <row r="113" spans="16:16" ht="15.75" customHeight="1">
      <c r="P113" s="71"/>
    </row>
    <row r="114" spans="16:16" ht="15.75" customHeight="1">
      <c r="P114" s="71"/>
    </row>
    <row r="115" spans="16:16" ht="15.75" customHeight="1">
      <c r="P115" s="71"/>
    </row>
    <row r="116" spans="16:16" ht="15.75" customHeight="1">
      <c r="P116" s="71"/>
    </row>
    <row r="117" spans="16:16" ht="15.75" customHeight="1">
      <c r="P117" s="71"/>
    </row>
    <row r="118" spans="16:16" ht="15.75" customHeight="1">
      <c r="P118" s="71"/>
    </row>
    <row r="119" spans="16:16" ht="15.75" customHeight="1">
      <c r="P119" s="71"/>
    </row>
    <row r="120" spans="16:16" ht="15.75" customHeight="1">
      <c r="P120" s="71"/>
    </row>
    <row r="121" spans="16:16" ht="15.75" customHeight="1">
      <c r="P121" s="71"/>
    </row>
    <row r="122" spans="16:16" ht="15.75" customHeight="1">
      <c r="P122" s="71"/>
    </row>
    <row r="123" spans="16:16" ht="15.75" customHeight="1">
      <c r="P123" s="71"/>
    </row>
    <row r="124" spans="16:16" ht="15.75" customHeight="1">
      <c r="P124" s="71"/>
    </row>
    <row r="125" spans="16:16" ht="15.75" customHeight="1">
      <c r="P125" s="71"/>
    </row>
    <row r="126" spans="16:16" ht="15.75" customHeight="1">
      <c r="P126" s="71"/>
    </row>
    <row r="127" spans="16:16" ht="15.75" customHeight="1">
      <c r="P127" s="71"/>
    </row>
    <row r="128" spans="16:16" ht="15.75" customHeight="1">
      <c r="P128" s="71"/>
    </row>
    <row r="129" spans="16:16" ht="15.75" customHeight="1">
      <c r="P129" s="71"/>
    </row>
    <row r="130" spans="16:16" ht="15.75" customHeight="1">
      <c r="P130" s="71"/>
    </row>
    <row r="131" spans="16:16" ht="15.75" customHeight="1">
      <c r="P131" s="71"/>
    </row>
    <row r="132" spans="16:16" ht="15.75" customHeight="1">
      <c r="P132" s="71"/>
    </row>
    <row r="133" spans="16:16" ht="15.75" customHeight="1">
      <c r="P133" s="71"/>
    </row>
    <row r="134" spans="16:16" ht="15.75" customHeight="1">
      <c r="P134" s="71"/>
    </row>
    <row r="135" spans="16:16" ht="15.75" customHeight="1">
      <c r="P135" s="71"/>
    </row>
    <row r="136" spans="16:16" ht="15.75" customHeight="1">
      <c r="P136" s="71"/>
    </row>
    <row r="137" spans="16:16" ht="15.75" customHeight="1">
      <c r="P137" s="71"/>
    </row>
    <row r="138" spans="16:16" ht="15.75" customHeight="1">
      <c r="P138" s="71"/>
    </row>
    <row r="139" spans="16:16" ht="15.75" customHeight="1">
      <c r="P139" s="71"/>
    </row>
    <row r="140" spans="16:16" ht="15.75" customHeight="1">
      <c r="P140" s="71"/>
    </row>
    <row r="141" spans="16:16" ht="15.75" customHeight="1">
      <c r="P141" s="71"/>
    </row>
    <row r="142" spans="16:16" ht="15.75" customHeight="1">
      <c r="P142" s="71"/>
    </row>
    <row r="143" spans="16:16" ht="15.75" customHeight="1">
      <c r="P143" s="71"/>
    </row>
    <row r="144" spans="16:16" ht="15.75" customHeight="1">
      <c r="P144" s="71"/>
    </row>
    <row r="145" spans="16:16" ht="15.75" customHeight="1">
      <c r="P145" s="71"/>
    </row>
    <row r="146" spans="16:16" ht="15.75" customHeight="1">
      <c r="P146" s="71"/>
    </row>
    <row r="147" spans="16:16" ht="15.75" customHeight="1">
      <c r="P147" s="71"/>
    </row>
    <row r="148" spans="16:16" ht="15.75" customHeight="1">
      <c r="P148" s="71"/>
    </row>
    <row r="149" spans="16:16" ht="15.75" customHeight="1">
      <c r="P149" s="71"/>
    </row>
    <row r="150" spans="16:16" ht="15.75" customHeight="1">
      <c r="P150" s="71"/>
    </row>
    <row r="151" spans="16:16" ht="15.75" customHeight="1">
      <c r="P151" s="71"/>
    </row>
    <row r="152" spans="16:16" ht="15.75" customHeight="1">
      <c r="P152" s="71"/>
    </row>
    <row r="153" spans="16:16" ht="15.75" customHeight="1">
      <c r="P153" s="71"/>
    </row>
    <row r="154" spans="16:16" ht="15.75" customHeight="1">
      <c r="P154" s="71"/>
    </row>
    <row r="155" spans="16:16" ht="15.75" customHeight="1">
      <c r="P155" s="71"/>
    </row>
    <row r="156" spans="16:16" ht="15.75" customHeight="1">
      <c r="P156" s="71"/>
    </row>
    <row r="157" spans="16:16" ht="15.75" customHeight="1">
      <c r="P157" s="71"/>
    </row>
    <row r="158" spans="16:16" ht="15.75" customHeight="1">
      <c r="P158" s="71"/>
    </row>
    <row r="159" spans="16:16" ht="15.75" customHeight="1">
      <c r="P159" s="71"/>
    </row>
    <row r="160" spans="16:16" ht="15.75" customHeight="1">
      <c r="P160" s="71"/>
    </row>
    <row r="161" spans="16:16" ht="15.75" customHeight="1">
      <c r="P161" s="71"/>
    </row>
    <row r="162" spans="16:16" ht="15.75" customHeight="1">
      <c r="P162" s="71"/>
    </row>
    <row r="163" spans="16:16" ht="15.75" customHeight="1">
      <c r="P163" s="71"/>
    </row>
    <row r="164" spans="16:16" ht="15.75" customHeight="1">
      <c r="P164" s="71"/>
    </row>
    <row r="165" spans="16:16" ht="15.75" customHeight="1">
      <c r="P165" s="71"/>
    </row>
    <row r="166" spans="16:16" ht="15.75" customHeight="1">
      <c r="P166" s="71"/>
    </row>
    <row r="167" spans="16:16" ht="15.75" customHeight="1">
      <c r="P167" s="71"/>
    </row>
    <row r="168" spans="16:16" ht="15.75" customHeight="1">
      <c r="P168" s="71"/>
    </row>
    <row r="169" spans="16:16" ht="15.75" customHeight="1">
      <c r="P169" s="71"/>
    </row>
    <row r="170" spans="16:16" ht="15.75" customHeight="1">
      <c r="P170" s="71"/>
    </row>
    <row r="171" spans="16:16" ht="15.75" customHeight="1">
      <c r="P171" s="71"/>
    </row>
    <row r="172" spans="16:16" ht="15.75" customHeight="1">
      <c r="P172" s="71"/>
    </row>
    <row r="173" spans="16:16" ht="15.75" customHeight="1">
      <c r="P173" s="71"/>
    </row>
    <row r="174" spans="16:16" ht="15.75" customHeight="1">
      <c r="P174" s="71"/>
    </row>
    <row r="175" spans="16:16" ht="15.75" customHeight="1">
      <c r="P175" s="71"/>
    </row>
    <row r="176" spans="16:16" ht="15.75" customHeight="1">
      <c r="P176" s="71"/>
    </row>
    <row r="177" spans="16:16" ht="15.75" customHeight="1">
      <c r="P177" s="71"/>
    </row>
    <row r="178" spans="16:16" ht="15.75" customHeight="1">
      <c r="P178" s="71"/>
    </row>
    <row r="179" spans="16:16" ht="15.75" customHeight="1">
      <c r="P179" s="71"/>
    </row>
    <row r="180" spans="16:16" ht="15.75" customHeight="1">
      <c r="P180" s="71"/>
    </row>
    <row r="181" spans="16:16" ht="15.75" customHeight="1">
      <c r="P181" s="71"/>
    </row>
    <row r="182" spans="16:16" ht="15.75" customHeight="1">
      <c r="P182" s="71"/>
    </row>
    <row r="183" spans="16:16" ht="15.75" customHeight="1">
      <c r="P183" s="71"/>
    </row>
    <row r="184" spans="16:16" ht="15.75" customHeight="1">
      <c r="P184" s="71"/>
    </row>
    <row r="185" spans="16:16" ht="15.75" customHeight="1">
      <c r="P185" s="71"/>
    </row>
    <row r="186" spans="16:16" ht="15.75" customHeight="1">
      <c r="P186" s="71"/>
    </row>
    <row r="187" spans="16:16" ht="15.75" customHeight="1">
      <c r="P187" s="71"/>
    </row>
    <row r="188" spans="16:16" ht="15.75" customHeight="1">
      <c r="P188" s="71"/>
    </row>
    <row r="189" spans="16:16" ht="15.75" customHeight="1">
      <c r="P189" s="71"/>
    </row>
    <row r="190" spans="16:16" ht="15.75" customHeight="1">
      <c r="P190" s="71"/>
    </row>
    <row r="191" spans="16:16" ht="15.75" customHeight="1">
      <c r="P191" s="71"/>
    </row>
    <row r="192" spans="16:16" ht="15.75" customHeight="1">
      <c r="P192" s="71"/>
    </row>
    <row r="193" spans="16:16" ht="15.75" customHeight="1">
      <c r="P193" s="71"/>
    </row>
    <row r="194" spans="16:16" ht="15.75" customHeight="1">
      <c r="P194" s="71"/>
    </row>
    <row r="195" spans="16:16" ht="15.75" customHeight="1">
      <c r="P195" s="71"/>
    </row>
    <row r="196" spans="16:16" ht="15.75" customHeight="1">
      <c r="P196" s="71"/>
    </row>
    <row r="197" spans="16:16" ht="15.75" customHeight="1">
      <c r="P197" s="71"/>
    </row>
    <row r="198" spans="16:16" ht="15.75" customHeight="1">
      <c r="P198" s="71"/>
    </row>
    <row r="199" spans="16:16" ht="15.75" customHeight="1">
      <c r="P199" s="71"/>
    </row>
    <row r="200" spans="16:16" ht="15.75" customHeight="1">
      <c r="P200" s="71"/>
    </row>
    <row r="201" spans="16:16" ht="15.75" customHeight="1">
      <c r="P201" s="71"/>
    </row>
    <row r="202" spans="16:16" ht="15.75" customHeight="1">
      <c r="P202" s="71"/>
    </row>
    <row r="203" spans="16:16" ht="15.75" customHeight="1">
      <c r="P203" s="71"/>
    </row>
    <row r="204" spans="16:16" ht="15.75" customHeight="1">
      <c r="P204" s="71"/>
    </row>
    <row r="205" spans="16:16" ht="15.75" customHeight="1">
      <c r="P205" s="71"/>
    </row>
    <row r="206" spans="16:16" ht="15.75" customHeight="1">
      <c r="P206" s="71"/>
    </row>
    <row r="207" spans="16:16" ht="15.75" customHeight="1">
      <c r="P207" s="71"/>
    </row>
    <row r="208" spans="16:16" ht="15.75" customHeight="1">
      <c r="P208" s="71"/>
    </row>
    <row r="209" spans="16:16" ht="15.75" customHeight="1">
      <c r="P209" s="71"/>
    </row>
    <row r="210" spans="16:16" ht="15.75" customHeight="1">
      <c r="P210" s="71"/>
    </row>
    <row r="211" spans="16:16" ht="15.75" customHeight="1">
      <c r="P211" s="71"/>
    </row>
    <row r="212" spans="16:16" ht="15.75" customHeight="1">
      <c r="P212" s="71"/>
    </row>
    <row r="213" spans="16:16" ht="15.75" customHeight="1">
      <c r="P213" s="71"/>
    </row>
    <row r="214" spans="16:16" ht="15.75" customHeight="1">
      <c r="P214" s="71"/>
    </row>
    <row r="215" spans="16:16" ht="15.75" customHeight="1">
      <c r="P215" s="71"/>
    </row>
    <row r="216" spans="16:16" ht="15.75" customHeight="1">
      <c r="P216" s="71"/>
    </row>
    <row r="217" spans="16:16" ht="15.75" customHeight="1">
      <c r="P217" s="71"/>
    </row>
    <row r="218" spans="16:16" ht="15.75" customHeight="1">
      <c r="P218" s="71"/>
    </row>
    <row r="219" spans="16:16" ht="15.75" customHeight="1">
      <c r="P219" s="71"/>
    </row>
    <row r="220" spans="16:16" ht="15.75" customHeight="1">
      <c r="P220" s="71"/>
    </row>
    <row r="221" spans="16:16" ht="15.75" customHeight="1">
      <c r="P221" s="71"/>
    </row>
    <row r="222" spans="16:16" ht="15.75" customHeight="1">
      <c r="P222" s="71"/>
    </row>
    <row r="223" spans="16:16" ht="15.75" customHeight="1">
      <c r="P223" s="71"/>
    </row>
    <row r="224" spans="16:16" ht="15.75" customHeight="1">
      <c r="P224" s="71"/>
    </row>
    <row r="225" spans="16:16" ht="15.75" customHeight="1">
      <c r="P225" s="71"/>
    </row>
    <row r="226" spans="16:16" ht="15.75" customHeight="1">
      <c r="P226" s="71"/>
    </row>
    <row r="227" spans="16:16" ht="15.75" customHeight="1">
      <c r="P227" s="71"/>
    </row>
    <row r="228" spans="16:16" ht="15.75" customHeight="1">
      <c r="P228" s="71"/>
    </row>
    <row r="229" spans="16:16" ht="15.75" customHeight="1">
      <c r="P229" s="71"/>
    </row>
    <row r="230" spans="16:16" ht="15.75" customHeight="1">
      <c r="P230" s="71"/>
    </row>
    <row r="231" spans="16:16" ht="15.75" customHeight="1">
      <c r="P231" s="71"/>
    </row>
    <row r="232" spans="16:16" ht="15.75" customHeight="1">
      <c r="P232" s="71"/>
    </row>
    <row r="233" spans="16:16" ht="15.75" customHeight="1">
      <c r="P233" s="71"/>
    </row>
    <row r="234" spans="16:16" ht="15.75" customHeight="1">
      <c r="P234" s="71"/>
    </row>
    <row r="235" spans="16:16" ht="15.75" customHeight="1">
      <c r="P235" s="71"/>
    </row>
    <row r="236" spans="16:16" ht="15.75" customHeight="1">
      <c r="P236" s="71"/>
    </row>
    <row r="237" spans="16:16" ht="15.75" customHeight="1">
      <c r="P237" s="71"/>
    </row>
    <row r="238" spans="16:16" ht="15.75" customHeight="1">
      <c r="P238" s="71"/>
    </row>
    <row r="239" spans="16:16" ht="15.75" customHeight="1">
      <c r="P239" s="71"/>
    </row>
    <row r="240" spans="16:16" ht="15.75" customHeight="1">
      <c r="P240" s="71"/>
    </row>
    <row r="241" spans="16:16" ht="15.75" customHeight="1">
      <c r="P241" s="71"/>
    </row>
    <row r="242" spans="16:16" ht="15.75" customHeight="1">
      <c r="P242" s="71"/>
    </row>
    <row r="243" spans="16:16" ht="15.75" customHeight="1">
      <c r="P243" s="71"/>
    </row>
    <row r="244" spans="16:16" ht="15.75" customHeight="1">
      <c r="P244" s="71"/>
    </row>
    <row r="245" spans="16:16" ht="15.75" customHeight="1">
      <c r="P245" s="71"/>
    </row>
    <row r="246" spans="16:16" ht="15.75" customHeight="1">
      <c r="P246" s="71"/>
    </row>
    <row r="247" spans="16:16" ht="15.75" customHeight="1">
      <c r="P247" s="71"/>
    </row>
    <row r="248" spans="16:16" ht="15.75" customHeight="1">
      <c r="P248" s="71"/>
    </row>
    <row r="249" spans="16:16" ht="15.75" customHeight="1">
      <c r="P249" s="71"/>
    </row>
    <row r="250" spans="16:16" ht="15.75" customHeight="1">
      <c r="P250" s="71"/>
    </row>
    <row r="251" spans="16:16" ht="15.75" customHeight="1">
      <c r="P251" s="71"/>
    </row>
    <row r="252" spans="16:16" ht="15.75" customHeight="1">
      <c r="P252" s="71"/>
    </row>
    <row r="253" spans="16:16" ht="15.75" customHeight="1">
      <c r="P253" s="71"/>
    </row>
    <row r="254" spans="16:16" ht="15.75" customHeight="1">
      <c r="P254" s="71"/>
    </row>
    <row r="255" spans="16:16" ht="15.75" customHeight="1">
      <c r="P255" s="71"/>
    </row>
    <row r="256" spans="16:16" ht="15.75" customHeight="1">
      <c r="P256" s="71"/>
    </row>
    <row r="257" spans="16:16" ht="15.75" customHeight="1">
      <c r="P257" s="71"/>
    </row>
    <row r="258" spans="16:16" ht="15.75" customHeight="1">
      <c r="P258" s="71"/>
    </row>
    <row r="259" spans="16:16" ht="15.75" customHeight="1">
      <c r="P259" s="71"/>
    </row>
    <row r="260" spans="16:16" ht="15.75" customHeight="1">
      <c r="P260" s="71"/>
    </row>
    <row r="261" spans="16:16" ht="15.75" customHeight="1">
      <c r="P261" s="71"/>
    </row>
    <row r="262" spans="16:16" ht="15.75" customHeight="1">
      <c r="P262" s="71"/>
    </row>
    <row r="263" spans="16:16" ht="15.75" customHeight="1">
      <c r="P263" s="71"/>
    </row>
    <row r="264" spans="16:16" ht="15.75" customHeight="1">
      <c r="P264" s="71"/>
    </row>
    <row r="265" spans="16:16" ht="15.75" customHeight="1">
      <c r="P265" s="71"/>
    </row>
    <row r="266" spans="16:16" ht="15.75" customHeight="1">
      <c r="P266" s="71"/>
    </row>
    <row r="267" spans="16:16" ht="15.75" customHeight="1">
      <c r="P267" s="71"/>
    </row>
    <row r="268" spans="16:16" ht="15.75" customHeight="1">
      <c r="P268" s="71"/>
    </row>
    <row r="269" spans="16:16" ht="15.75" customHeight="1">
      <c r="P269" s="71"/>
    </row>
    <row r="270" spans="16:16" ht="15.75" customHeight="1">
      <c r="P270" s="71"/>
    </row>
    <row r="271" spans="16:16" ht="15.75" customHeight="1">
      <c r="P271" s="71"/>
    </row>
    <row r="272" spans="16:16" ht="15.75" customHeight="1">
      <c r="P272" s="71"/>
    </row>
    <row r="273" spans="16:16" ht="15.75" customHeight="1">
      <c r="P273" s="71"/>
    </row>
    <row r="274" spans="16:16" ht="15.75" customHeight="1">
      <c r="P274" s="71"/>
    </row>
    <row r="275" spans="16:16" ht="15.75" customHeight="1">
      <c r="P275" s="71"/>
    </row>
    <row r="276" spans="16:16" ht="15.75" customHeight="1">
      <c r="P276" s="71"/>
    </row>
    <row r="277" spans="16:16" ht="15.75" customHeight="1">
      <c r="P277" s="71"/>
    </row>
    <row r="278" spans="16:16" ht="15.75" customHeight="1">
      <c r="P278" s="71"/>
    </row>
    <row r="279" spans="16:16" ht="15.75" customHeight="1">
      <c r="P279" s="71"/>
    </row>
    <row r="280" spans="16:16" ht="15.75" customHeight="1">
      <c r="P280" s="71"/>
    </row>
    <row r="281" spans="16:16" ht="15.75" customHeight="1">
      <c r="P281" s="71"/>
    </row>
    <row r="282" spans="16:16" ht="15.75" customHeight="1">
      <c r="P282" s="71"/>
    </row>
    <row r="283" spans="16:16" ht="15.75" customHeight="1">
      <c r="P283" s="71"/>
    </row>
    <row r="284" spans="16:16" ht="15.75" customHeight="1">
      <c r="P284" s="71"/>
    </row>
    <row r="285" spans="16:16" ht="15.75" customHeight="1">
      <c r="P285" s="71"/>
    </row>
    <row r="286" spans="16:16" ht="15.75" customHeight="1">
      <c r="P286" s="71"/>
    </row>
    <row r="287" spans="16:16" ht="15.75" customHeight="1">
      <c r="P287" s="71"/>
    </row>
    <row r="288" spans="16:16" ht="15.75" customHeight="1">
      <c r="P288" s="71"/>
    </row>
    <row r="289" spans="16:16" ht="15.75" customHeight="1">
      <c r="P289" s="71"/>
    </row>
    <row r="290" spans="16:16" ht="15.75" customHeight="1">
      <c r="P290" s="71"/>
    </row>
    <row r="291" spans="16:16" ht="15.75" customHeight="1">
      <c r="P291" s="71"/>
    </row>
    <row r="292" spans="16:16" ht="15.75" customHeight="1">
      <c r="P292" s="71"/>
    </row>
    <row r="293" spans="16:16" ht="15.75" customHeight="1">
      <c r="P293" s="71"/>
    </row>
    <row r="294" spans="16:16" ht="15.75" customHeight="1">
      <c r="P294" s="71"/>
    </row>
    <row r="295" spans="16:16" ht="15.75" customHeight="1">
      <c r="P295" s="71"/>
    </row>
    <row r="296" spans="16:16" ht="15.75" customHeight="1">
      <c r="P296" s="71"/>
    </row>
    <row r="297" spans="16:16" ht="15.75" customHeight="1">
      <c r="P297" s="71"/>
    </row>
    <row r="298" spans="16:16" ht="15.75" customHeight="1">
      <c r="P298" s="71"/>
    </row>
    <row r="299" spans="16:16" ht="15.75" customHeight="1">
      <c r="P299" s="71"/>
    </row>
    <row r="300" spans="16:16" ht="15.75" customHeight="1">
      <c r="P300" s="71"/>
    </row>
    <row r="301" spans="16:16" ht="15.75" customHeight="1">
      <c r="P301" s="71"/>
    </row>
    <row r="302" spans="16:16" ht="15.75" customHeight="1">
      <c r="P302" s="71"/>
    </row>
    <row r="303" spans="16:16" ht="15.75" customHeight="1">
      <c r="P303" s="71"/>
    </row>
    <row r="304" spans="16:16" ht="15.75" customHeight="1">
      <c r="P304" s="71"/>
    </row>
    <row r="305" spans="16:16" ht="15.75" customHeight="1">
      <c r="P305" s="71"/>
    </row>
    <row r="306" spans="16:16" ht="15.75" customHeight="1">
      <c r="P306" s="71"/>
    </row>
    <row r="307" spans="16:16" ht="15.75" customHeight="1">
      <c r="P307" s="71"/>
    </row>
    <row r="308" spans="16:16" ht="15.75" customHeight="1">
      <c r="P308" s="71"/>
    </row>
    <row r="309" spans="16:16" ht="15.75" customHeight="1">
      <c r="P309" s="71"/>
    </row>
    <row r="310" spans="16:16" ht="15.75" customHeight="1">
      <c r="P310" s="71"/>
    </row>
    <row r="311" spans="16:16" ht="15.75" customHeight="1">
      <c r="P311" s="71"/>
    </row>
    <row r="312" spans="16:16" ht="15.75" customHeight="1">
      <c r="P312" s="71"/>
    </row>
    <row r="313" spans="16:16" ht="15.75" customHeight="1">
      <c r="P313" s="71"/>
    </row>
    <row r="314" spans="16:16" ht="15.75" customHeight="1">
      <c r="P314" s="71"/>
    </row>
    <row r="315" spans="16:16" ht="15.75" customHeight="1">
      <c r="P315" s="71"/>
    </row>
    <row r="316" spans="16:16" ht="15.75" customHeight="1">
      <c r="P316" s="71"/>
    </row>
    <row r="317" spans="16:16" ht="15.75" customHeight="1">
      <c r="P317" s="71"/>
    </row>
    <row r="318" spans="16:16" ht="15.75" customHeight="1">
      <c r="P318" s="71"/>
    </row>
    <row r="319" spans="16:16" ht="15.75" customHeight="1">
      <c r="P319" s="71"/>
    </row>
    <row r="320" spans="16:16" ht="15.75" customHeight="1">
      <c r="P320" s="71"/>
    </row>
    <row r="321" spans="16:16" ht="15.75" customHeight="1">
      <c r="P321" s="71"/>
    </row>
    <row r="322" spans="16:16" ht="15.75" customHeight="1">
      <c r="P322" s="71"/>
    </row>
    <row r="323" spans="16:16" ht="15.75" customHeight="1">
      <c r="P323" s="71"/>
    </row>
    <row r="324" spans="16:16" ht="15.75" customHeight="1">
      <c r="P324" s="71"/>
    </row>
    <row r="325" spans="16:16" ht="15.75" customHeight="1">
      <c r="P325" s="71"/>
    </row>
    <row r="326" spans="16:16" ht="15.75" customHeight="1">
      <c r="P326" s="71"/>
    </row>
    <row r="327" spans="16:16" ht="15.75" customHeight="1">
      <c r="P327" s="71"/>
    </row>
    <row r="328" spans="16:16" ht="15.75" customHeight="1">
      <c r="P328" s="71"/>
    </row>
    <row r="329" spans="16:16" ht="15.75" customHeight="1">
      <c r="P329" s="71"/>
    </row>
    <row r="330" spans="16:16" ht="15.75" customHeight="1">
      <c r="P330" s="71"/>
    </row>
    <row r="331" spans="16:16" ht="15.75" customHeight="1">
      <c r="P331" s="71"/>
    </row>
    <row r="332" spans="16:16" ht="15.75" customHeight="1">
      <c r="P332" s="71"/>
    </row>
    <row r="333" spans="16:16" ht="15.75" customHeight="1">
      <c r="P333" s="71"/>
    </row>
    <row r="334" spans="16:16" ht="15.75" customHeight="1">
      <c r="P334" s="71"/>
    </row>
    <row r="335" spans="16:16" ht="15.75" customHeight="1">
      <c r="P335" s="71"/>
    </row>
    <row r="336" spans="16:16" ht="15.75" customHeight="1">
      <c r="P336" s="71"/>
    </row>
    <row r="337" spans="16:16" ht="15.75" customHeight="1">
      <c r="P337" s="71"/>
    </row>
    <row r="338" spans="16:16" ht="15.75" customHeight="1">
      <c r="P338" s="71"/>
    </row>
    <row r="339" spans="16:16" ht="15.75" customHeight="1">
      <c r="P339" s="71"/>
    </row>
    <row r="340" spans="16:16" ht="15.75" customHeight="1">
      <c r="P340" s="71"/>
    </row>
    <row r="341" spans="16:16" ht="15.75" customHeight="1">
      <c r="P341" s="71"/>
    </row>
    <row r="342" spans="16:16" ht="15.75" customHeight="1">
      <c r="P342" s="71"/>
    </row>
    <row r="343" spans="16:16" ht="15.75" customHeight="1">
      <c r="P343" s="71"/>
    </row>
    <row r="344" spans="16:16" ht="15.75" customHeight="1">
      <c r="P344" s="71"/>
    </row>
    <row r="345" spans="16:16" ht="15.75" customHeight="1">
      <c r="P345" s="71"/>
    </row>
    <row r="346" spans="16:16" ht="15.75" customHeight="1">
      <c r="P346" s="71"/>
    </row>
    <row r="347" spans="16:16" ht="15.75" customHeight="1">
      <c r="P347" s="71"/>
    </row>
    <row r="348" spans="16:16" ht="15.75" customHeight="1">
      <c r="P348" s="71"/>
    </row>
    <row r="349" spans="16:16" ht="15.75" customHeight="1">
      <c r="P349" s="71"/>
    </row>
    <row r="350" spans="16:16" ht="15.75" customHeight="1">
      <c r="P350" s="71"/>
    </row>
    <row r="351" spans="16:16" ht="15.75" customHeight="1">
      <c r="P351" s="71"/>
    </row>
    <row r="352" spans="16:16" ht="15.75" customHeight="1">
      <c r="P352" s="71"/>
    </row>
    <row r="353" spans="16:16" ht="15.75" customHeight="1">
      <c r="P353" s="71"/>
    </row>
    <row r="354" spans="16:16" ht="15.75" customHeight="1">
      <c r="P354" s="71"/>
    </row>
    <row r="355" spans="16:16" ht="15.75" customHeight="1">
      <c r="P355" s="71"/>
    </row>
    <row r="356" spans="16:16" ht="15.75" customHeight="1">
      <c r="P356" s="71"/>
    </row>
    <row r="357" spans="16:16" ht="15.75" customHeight="1">
      <c r="P357" s="71"/>
    </row>
    <row r="358" spans="16:16" ht="15.75" customHeight="1">
      <c r="P358" s="71"/>
    </row>
    <row r="359" spans="16:16" ht="15.75" customHeight="1">
      <c r="P359" s="71"/>
    </row>
    <row r="360" spans="16:16" ht="15.75" customHeight="1">
      <c r="P360" s="71"/>
    </row>
    <row r="361" spans="16:16" ht="15.75" customHeight="1">
      <c r="P361" s="71"/>
    </row>
    <row r="362" spans="16:16" ht="15.75" customHeight="1">
      <c r="P362" s="71"/>
    </row>
    <row r="363" spans="16:16" ht="15.75" customHeight="1">
      <c r="P363" s="71"/>
    </row>
    <row r="364" spans="16:16" ht="15.75" customHeight="1">
      <c r="P364" s="71"/>
    </row>
    <row r="365" spans="16:16" ht="15.75" customHeight="1">
      <c r="P365" s="71"/>
    </row>
    <row r="366" spans="16:16" ht="15.75" customHeight="1">
      <c r="P366" s="71"/>
    </row>
    <row r="367" spans="16:16" ht="15.75" customHeight="1">
      <c r="P367" s="71"/>
    </row>
    <row r="368" spans="16:16" ht="15.75" customHeight="1">
      <c r="P368" s="71"/>
    </row>
    <row r="369" spans="16:16" ht="15.75" customHeight="1">
      <c r="P369" s="71"/>
    </row>
    <row r="370" spans="16:16" ht="15.75" customHeight="1">
      <c r="P370" s="71"/>
    </row>
    <row r="371" spans="16:16" ht="15.75" customHeight="1">
      <c r="P371" s="71"/>
    </row>
    <row r="372" spans="16:16" ht="15.75" customHeight="1">
      <c r="P372" s="71"/>
    </row>
    <row r="373" spans="16:16" ht="15.75" customHeight="1">
      <c r="P373" s="71"/>
    </row>
    <row r="374" spans="16:16" ht="15.75" customHeight="1">
      <c r="P374" s="71"/>
    </row>
    <row r="375" spans="16:16" ht="15.75" customHeight="1">
      <c r="P375" s="71"/>
    </row>
    <row r="376" spans="16:16" ht="15.75" customHeight="1">
      <c r="P376" s="71"/>
    </row>
    <row r="377" spans="16:16" ht="15.75" customHeight="1">
      <c r="P377" s="71"/>
    </row>
    <row r="378" spans="16:16" ht="15.75" customHeight="1">
      <c r="P378" s="71"/>
    </row>
    <row r="379" spans="16:16" ht="15.75" customHeight="1">
      <c r="P379" s="71"/>
    </row>
    <row r="380" spans="16:16" ht="15.75" customHeight="1">
      <c r="P380" s="71"/>
    </row>
    <row r="381" spans="16:16" ht="15.75" customHeight="1">
      <c r="P381" s="71"/>
    </row>
    <row r="382" spans="16:16" ht="15.75" customHeight="1">
      <c r="P382" s="71"/>
    </row>
    <row r="383" spans="16:16" ht="15.75" customHeight="1">
      <c r="P383" s="71"/>
    </row>
    <row r="384" spans="16:16" ht="15.75" customHeight="1">
      <c r="P384" s="71"/>
    </row>
    <row r="385" spans="16:16" ht="15.75" customHeight="1">
      <c r="P385" s="71"/>
    </row>
    <row r="386" spans="16:16" ht="15.75" customHeight="1">
      <c r="P386" s="71"/>
    </row>
    <row r="387" spans="16:16" ht="15.75" customHeight="1">
      <c r="P387" s="71"/>
    </row>
    <row r="388" spans="16:16" ht="15.75" customHeight="1">
      <c r="P388" s="71"/>
    </row>
    <row r="389" spans="16:16" ht="15.75" customHeight="1">
      <c r="P389" s="71"/>
    </row>
    <row r="390" spans="16:16" ht="15.75" customHeight="1">
      <c r="P390" s="71"/>
    </row>
    <row r="391" spans="16:16" ht="15.75" customHeight="1">
      <c r="P391" s="71"/>
    </row>
    <row r="392" spans="16:16" ht="15.75" customHeight="1">
      <c r="P392" s="71"/>
    </row>
    <row r="393" spans="16:16" ht="15.75" customHeight="1">
      <c r="P393" s="71"/>
    </row>
    <row r="394" spans="16:16" ht="15.75" customHeight="1">
      <c r="P394" s="71"/>
    </row>
    <row r="395" spans="16:16" ht="15.75" customHeight="1">
      <c r="P395" s="71"/>
    </row>
    <row r="396" spans="16:16" ht="15.75" customHeight="1">
      <c r="P396" s="71"/>
    </row>
    <row r="397" spans="16:16" ht="15.75" customHeight="1">
      <c r="P397" s="71"/>
    </row>
    <row r="398" spans="16:16" ht="15.75" customHeight="1">
      <c r="P398" s="71"/>
    </row>
    <row r="399" spans="16:16" ht="15.75" customHeight="1">
      <c r="P399" s="71"/>
    </row>
    <row r="400" spans="16:16" ht="15.75" customHeight="1">
      <c r="P400" s="71"/>
    </row>
    <row r="401" spans="16:16" ht="15.75" customHeight="1">
      <c r="P401" s="71"/>
    </row>
    <row r="402" spans="16:16" ht="15.75" customHeight="1">
      <c r="P402" s="71"/>
    </row>
    <row r="403" spans="16:16" ht="15.75" customHeight="1">
      <c r="P403" s="71"/>
    </row>
    <row r="404" spans="16:16" ht="15.75" customHeight="1">
      <c r="P404" s="71"/>
    </row>
    <row r="405" spans="16:16" ht="15.75" customHeight="1">
      <c r="P405" s="71"/>
    </row>
    <row r="406" spans="16:16" ht="15.75" customHeight="1">
      <c r="P406" s="71"/>
    </row>
    <row r="407" spans="16:16" ht="15.75" customHeight="1">
      <c r="P407" s="71"/>
    </row>
    <row r="408" spans="16:16" ht="15.75" customHeight="1">
      <c r="P408" s="71"/>
    </row>
    <row r="409" spans="16:16" ht="15.75" customHeight="1">
      <c r="P409" s="71"/>
    </row>
    <row r="410" spans="16:16" ht="15.75" customHeight="1">
      <c r="P410" s="71"/>
    </row>
    <row r="411" spans="16:16" ht="15.75" customHeight="1">
      <c r="P411" s="71"/>
    </row>
    <row r="412" spans="16:16" ht="15.75" customHeight="1">
      <c r="P412" s="71"/>
    </row>
    <row r="413" spans="16:16" ht="15.75" customHeight="1">
      <c r="P413" s="71"/>
    </row>
    <row r="414" spans="16:16" ht="15.75" customHeight="1">
      <c r="P414" s="71"/>
    </row>
    <row r="415" spans="16:16" ht="15.75" customHeight="1">
      <c r="P415" s="71"/>
    </row>
    <row r="416" spans="16:16" ht="15.75" customHeight="1">
      <c r="P416" s="71"/>
    </row>
    <row r="417" spans="16:16" ht="15.75" customHeight="1">
      <c r="P417" s="71"/>
    </row>
    <row r="418" spans="16:16" ht="15.75" customHeight="1">
      <c r="P418" s="71"/>
    </row>
    <row r="419" spans="16:16" ht="15.75" customHeight="1">
      <c r="P419" s="71"/>
    </row>
    <row r="420" spans="16:16" ht="15.75" customHeight="1">
      <c r="P420" s="71"/>
    </row>
    <row r="421" spans="16:16" ht="15.75" customHeight="1">
      <c r="P421" s="71"/>
    </row>
    <row r="422" spans="16:16" ht="15.75" customHeight="1">
      <c r="P422" s="71"/>
    </row>
    <row r="423" spans="16:16" ht="15.75" customHeight="1">
      <c r="P423" s="71"/>
    </row>
    <row r="424" spans="16:16" ht="15.75" customHeight="1">
      <c r="P424" s="71"/>
    </row>
    <row r="425" spans="16:16" ht="15.75" customHeight="1">
      <c r="P425" s="71"/>
    </row>
    <row r="426" spans="16:16" ht="15.75" customHeight="1">
      <c r="P426" s="71"/>
    </row>
    <row r="427" spans="16:16" ht="15.75" customHeight="1">
      <c r="P427" s="71"/>
    </row>
    <row r="428" spans="16:16" ht="15.75" customHeight="1">
      <c r="P428" s="71"/>
    </row>
    <row r="429" spans="16:16" ht="15.75" customHeight="1">
      <c r="P429" s="71"/>
    </row>
    <row r="430" spans="16:16" ht="15.75" customHeight="1">
      <c r="P430" s="71"/>
    </row>
    <row r="431" spans="16:16" ht="15.75" customHeight="1">
      <c r="P431" s="71"/>
    </row>
    <row r="432" spans="16:16" ht="15.75" customHeight="1">
      <c r="P432" s="71"/>
    </row>
    <row r="433" spans="16:16" ht="15.75" customHeight="1">
      <c r="P433" s="71"/>
    </row>
    <row r="434" spans="16:16" ht="15.75" customHeight="1">
      <c r="P434" s="71"/>
    </row>
    <row r="435" spans="16:16" ht="15.75" customHeight="1">
      <c r="P435" s="71"/>
    </row>
    <row r="436" spans="16:16" ht="15.75" customHeight="1">
      <c r="P436" s="71"/>
    </row>
    <row r="437" spans="16:16" ht="15.75" customHeight="1">
      <c r="P437" s="71"/>
    </row>
    <row r="438" spans="16:16" ht="15.75" customHeight="1">
      <c r="P438" s="71"/>
    </row>
    <row r="439" spans="16:16" ht="15.75" customHeight="1">
      <c r="P439" s="71"/>
    </row>
    <row r="440" spans="16:16" ht="15.75" customHeight="1">
      <c r="P440" s="71"/>
    </row>
    <row r="441" spans="16:16" ht="15.75" customHeight="1">
      <c r="P441" s="71"/>
    </row>
    <row r="442" spans="16:16" ht="15.75" customHeight="1">
      <c r="P442" s="71"/>
    </row>
    <row r="443" spans="16:16" ht="15.75" customHeight="1">
      <c r="P443" s="71"/>
    </row>
    <row r="444" spans="16:16" ht="15.75" customHeight="1">
      <c r="P444" s="71"/>
    </row>
    <row r="445" spans="16:16" ht="15.75" customHeight="1">
      <c r="P445" s="71"/>
    </row>
    <row r="446" spans="16:16" ht="15.75" customHeight="1">
      <c r="P446" s="71"/>
    </row>
    <row r="447" spans="16:16" ht="15.75" customHeight="1">
      <c r="P447" s="71"/>
    </row>
    <row r="448" spans="16:16" ht="15.75" customHeight="1">
      <c r="P448" s="71"/>
    </row>
    <row r="449" spans="16:16" ht="15.75" customHeight="1">
      <c r="P449" s="71"/>
    </row>
    <row r="450" spans="16:16" ht="15.75" customHeight="1">
      <c r="P450" s="71"/>
    </row>
    <row r="451" spans="16:16" ht="15.75" customHeight="1">
      <c r="P451" s="71"/>
    </row>
    <row r="452" spans="16:16" ht="15.75" customHeight="1">
      <c r="P452" s="71"/>
    </row>
    <row r="453" spans="16:16" ht="15.75" customHeight="1">
      <c r="P453" s="71"/>
    </row>
    <row r="454" spans="16:16" ht="15.75" customHeight="1">
      <c r="P454" s="71"/>
    </row>
    <row r="455" spans="16:16" ht="15.75" customHeight="1">
      <c r="P455" s="71"/>
    </row>
    <row r="456" spans="16:16" ht="15.75" customHeight="1">
      <c r="P456" s="71"/>
    </row>
    <row r="457" spans="16:16" ht="15.75" customHeight="1">
      <c r="P457" s="71"/>
    </row>
    <row r="458" spans="16:16" ht="15.75" customHeight="1">
      <c r="P458" s="71"/>
    </row>
    <row r="459" spans="16:16" ht="15.75" customHeight="1">
      <c r="P459" s="71"/>
    </row>
    <row r="460" spans="16:16" ht="15.75" customHeight="1">
      <c r="P460" s="71"/>
    </row>
    <row r="461" spans="16:16" ht="15.75" customHeight="1">
      <c r="P461" s="71"/>
    </row>
    <row r="462" spans="16:16" ht="15.75" customHeight="1">
      <c r="P462" s="71"/>
    </row>
    <row r="463" spans="16:16" ht="15.75" customHeight="1">
      <c r="P463" s="71"/>
    </row>
    <row r="464" spans="16:16" ht="15.75" customHeight="1">
      <c r="P464" s="71"/>
    </row>
    <row r="465" spans="16:16" ht="15.75" customHeight="1">
      <c r="P465" s="71"/>
    </row>
    <row r="466" spans="16:16" ht="15.75" customHeight="1">
      <c r="P466" s="71"/>
    </row>
    <row r="467" spans="16:16" ht="15.75" customHeight="1">
      <c r="P467" s="71"/>
    </row>
    <row r="468" spans="16:16" ht="15.75" customHeight="1">
      <c r="P468" s="71"/>
    </row>
    <row r="469" spans="16:16" ht="15.75" customHeight="1">
      <c r="P469" s="71"/>
    </row>
    <row r="470" spans="16:16" ht="15.75" customHeight="1">
      <c r="P470" s="71"/>
    </row>
    <row r="471" spans="16:16" ht="15.75" customHeight="1">
      <c r="P471" s="71"/>
    </row>
    <row r="472" spans="16:16" ht="15.75" customHeight="1">
      <c r="P472" s="71"/>
    </row>
    <row r="473" spans="16:16" ht="15.75" customHeight="1">
      <c r="P473" s="71"/>
    </row>
    <row r="474" spans="16:16" ht="15.75" customHeight="1">
      <c r="P474" s="71"/>
    </row>
    <row r="475" spans="16:16" ht="15.75" customHeight="1">
      <c r="P475" s="71"/>
    </row>
    <row r="476" spans="16:16" ht="15.75" customHeight="1">
      <c r="P476" s="71"/>
    </row>
    <row r="477" spans="16:16" ht="15.75" customHeight="1">
      <c r="P477" s="71"/>
    </row>
    <row r="478" spans="16:16" ht="15.75" customHeight="1">
      <c r="P478" s="71"/>
    </row>
    <row r="479" spans="16:16" ht="15.75" customHeight="1">
      <c r="P479" s="71"/>
    </row>
    <row r="480" spans="16:16" ht="15.75" customHeight="1">
      <c r="P480" s="71"/>
    </row>
    <row r="481" spans="16:16" ht="15.75" customHeight="1">
      <c r="P481" s="71"/>
    </row>
    <row r="482" spans="16:16" ht="15.75" customHeight="1">
      <c r="P482" s="71"/>
    </row>
    <row r="483" spans="16:16" ht="15.75" customHeight="1">
      <c r="P483" s="71"/>
    </row>
    <row r="484" spans="16:16" ht="15.75" customHeight="1">
      <c r="P484" s="71"/>
    </row>
    <row r="485" spans="16:16" ht="15.75" customHeight="1">
      <c r="P485" s="71"/>
    </row>
    <row r="486" spans="16:16" ht="15.75" customHeight="1">
      <c r="P486" s="71"/>
    </row>
    <row r="487" spans="16:16" ht="15.75" customHeight="1">
      <c r="P487" s="71"/>
    </row>
    <row r="488" spans="16:16" ht="15.75" customHeight="1">
      <c r="P488" s="71"/>
    </row>
    <row r="489" spans="16:16" ht="15.75" customHeight="1">
      <c r="P489" s="71"/>
    </row>
    <row r="490" spans="16:16" ht="15.75" customHeight="1">
      <c r="P490" s="71"/>
    </row>
    <row r="491" spans="16:16" ht="15.75" customHeight="1">
      <c r="P491" s="71"/>
    </row>
    <row r="492" spans="16:16" ht="15.75" customHeight="1">
      <c r="P492" s="71"/>
    </row>
    <row r="493" spans="16:16" ht="15.75" customHeight="1">
      <c r="P493" s="71"/>
    </row>
    <row r="494" spans="16:16" ht="15.75" customHeight="1">
      <c r="P494" s="71"/>
    </row>
    <row r="495" spans="16:16" ht="15.75" customHeight="1">
      <c r="P495" s="71"/>
    </row>
    <row r="496" spans="16:16" ht="15.75" customHeight="1">
      <c r="P496" s="71"/>
    </row>
    <row r="497" spans="16:16" ht="15.75" customHeight="1">
      <c r="P497" s="71"/>
    </row>
    <row r="498" spans="16:16" ht="15.75" customHeight="1">
      <c r="P498" s="71"/>
    </row>
    <row r="499" spans="16:16" ht="15.75" customHeight="1">
      <c r="P499" s="71"/>
    </row>
    <row r="500" spans="16:16" ht="15.75" customHeight="1">
      <c r="P500" s="71"/>
    </row>
    <row r="501" spans="16:16" ht="15.75" customHeight="1">
      <c r="P501" s="71"/>
    </row>
    <row r="502" spans="16:16" ht="15.75" customHeight="1">
      <c r="P502" s="71"/>
    </row>
    <row r="503" spans="16:16" ht="15.75" customHeight="1">
      <c r="P503" s="71"/>
    </row>
    <row r="504" spans="16:16" ht="15.75" customHeight="1">
      <c r="P504" s="71"/>
    </row>
    <row r="505" spans="16:16" ht="15.75" customHeight="1">
      <c r="P505" s="71"/>
    </row>
    <row r="506" spans="16:16" ht="15.75" customHeight="1">
      <c r="P506" s="71"/>
    </row>
    <row r="507" spans="16:16" ht="15.75" customHeight="1">
      <c r="P507" s="71"/>
    </row>
    <row r="508" spans="16:16" ht="15.75" customHeight="1">
      <c r="P508" s="71"/>
    </row>
    <row r="509" spans="16:16" ht="15.75" customHeight="1">
      <c r="P509" s="71"/>
    </row>
    <row r="510" spans="16:16" ht="15.75" customHeight="1">
      <c r="P510" s="71"/>
    </row>
    <row r="511" spans="16:16" ht="15.75" customHeight="1">
      <c r="P511" s="71"/>
    </row>
    <row r="512" spans="16:16" ht="15.75" customHeight="1">
      <c r="P512" s="71"/>
    </row>
    <row r="513" spans="16:16" ht="15.75" customHeight="1">
      <c r="P513" s="71"/>
    </row>
    <row r="514" spans="16:16" ht="15.75" customHeight="1">
      <c r="P514" s="71"/>
    </row>
    <row r="515" spans="16:16" ht="15.75" customHeight="1">
      <c r="P515" s="71"/>
    </row>
    <row r="516" spans="16:16" ht="15.75" customHeight="1">
      <c r="P516" s="71"/>
    </row>
    <row r="517" spans="16:16" ht="15.75" customHeight="1">
      <c r="P517" s="71"/>
    </row>
    <row r="518" spans="16:16" ht="15.75" customHeight="1">
      <c r="P518" s="71"/>
    </row>
    <row r="519" spans="16:16" ht="15.75" customHeight="1">
      <c r="P519" s="71"/>
    </row>
    <row r="520" spans="16:16" ht="15.75" customHeight="1">
      <c r="P520" s="71"/>
    </row>
    <row r="521" spans="16:16" ht="15.75" customHeight="1">
      <c r="P521" s="71"/>
    </row>
    <row r="522" spans="16:16" ht="15.75" customHeight="1">
      <c r="P522" s="71"/>
    </row>
    <row r="523" spans="16:16" ht="15.75" customHeight="1">
      <c r="P523" s="71"/>
    </row>
    <row r="524" spans="16:16" ht="15.75" customHeight="1">
      <c r="P524" s="71"/>
    </row>
    <row r="525" spans="16:16" ht="15.75" customHeight="1">
      <c r="P525" s="71"/>
    </row>
    <row r="526" spans="16:16" ht="15.75" customHeight="1">
      <c r="P526" s="71"/>
    </row>
    <row r="527" spans="16:16" ht="15.75" customHeight="1">
      <c r="P527" s="71"/>
    </row>
    <row r="528" spans="16:16" ht="15.75" customHeight="1">
      <c r="P528" s="71"/>
    </row>
    <row r="529" spans="16:16" ht="15.75" customHeight="1">
      <c r="P529" s="71"/>
    </row>
    <row r="530" spans="16:16" ht="15.75" customHeight="1">
      <c r="P530" s="71"/>
    </row>
    <row r="531" spans="16:16" ht="15.75" customHeight="1">
      <c r="P531" s="71"/>
    </row>
    <row r="532" spans="16:16" ht="15.75" customHeight="1">
      <c r="P532" s="71"/>
    </row>
    <row r="533" spans="16:16" ht="15.75" customHeight="1">
      <c r="P533" s="71"/>
    </row>
    <row r="534" spans="16:16" ht="15.75" customHeight="1">
      <c r="P534" s="71"/>
    </row>
    <row r="535" spans="16:16" ht="15.75" customHeight="1">
      <c r="P535" s="71"/>
    </row>
    <row r="536" spans="16:16" ht="15.75" customHeight="1">
      <c r="P536" s="71"/>
    </row>
    <row r="537" spans="16:16" ht="15.75" customHeight="1">
      <c r="P537" s="71"/>
    </row>
    <row r="538" spans="16:16" ht="15.75" customHeight="1">
      <c r="P538" s="71"/>
    </row>
    <row r="539" spans="16:16" ht="15.75" customHeight="1">
      <c r="P539" s="71"/>
    </row>
    <row r="540" spans="16:16" ht="15.75" customHeight="1">
      <c r="P540" s="71"/>
    </row>
    <row r="541" spans="16:16" ht="15.75" customHeight="1">
      <c r="P541" s="71"/>
    </row>
    <row r="542" spans="16:16" ht="15.75" customHeight="1">
      <c r="P542" s="71"/>
    </row>
    <row r="543" spans="16:16" ht="15.75" customHeight="1">
      <c r="P543" s="71"/>
    </row>
    <row r="544" spans="16:16" ht="15.75" customHeight="1">
      <c r="P544" s="71"/>
    </row>
    <row r="545" spans="16:16" ht="15.75" customHeight="1">
      <c r="P545" s="71"/>
    </row>
    <row r="546" spans="16:16" ht="15.75" customHeight="1">
      <c r="P546" s="71"/>
    </row>
    <row r="547" spans="16:16" ht="15.75" customHeight="1">
      <c r="P547" s="71"/>
    </row>
    <row r="548" spans="16:16" ht="15.75" customHeight="1">
      <c r="P548" s="71"/>
    </row>
    <row r="549" spans="16:16" ht="15.75" customHeight="1">
      <c r="P549" s="71"/>
    </row>
    <row r="550" spans="16:16" ht="15.75" customHeight="1">
      <c r="P550" s="71"/>
    </row>
    <row r="551" spans="16:16" ht="15.75" customHeight="1">
      <c r="P551" s="71"/>
    </row>
    <row r="552" spans="16:16" ht="15.75" customHeight="1">
      <c r="P552" s="71"/>
    </row>
    <row r="553" spans="16:16" ht="15.75" customHeight="1">
      <c r="P553" s="71"/>
    </row>
    <row r="554" spans="16:16" ht="15.75" customHeight="1">
      <c r="P554" s="71"/>
    </row>
    <row r="555" spans="16:16" ht="15.75" customHeight="1">
      <c r="P555" s="71"/>
    </row>
    <row r="556" spans="16:16" ht="15.75" customHeight="1">
      <c r="P556" s="71"/>
    </row>
    <row r="557" spans="16:16" ht="15.75" customHeight="1">
      <c r="P557" s="71"/>
    </row>
    <row r="558" spans="16:16" ht="15.75" customHeight="1">
      <c r="P558" s="71"/>
    </row>
    <row r="559" spans="16:16" ht="15.75" customHeight="1">
      <c r="P559" s="71"/>
    </row>
    <row r="560" spans="16:16" ht="15.75" customHeight="1">
      <c r="P560" s="71"/>
    </row>
    <row r="561" spans="16:16" ht="15.75" customHeight="1">
      <c r="P561" s="71"/>
    </row>
    <row r="562" spans="16:16" ht="15.75" customHeight="1">
      <c r="P562" s="71"/>
    </row>
    <row r="563" spans="16:16" ht="15.75" customHeight="1">
      <c r="P563" s="71"/>
    </row>
    <row r="564" spans="16:16" ht="15.75" customHeight="1">
      <c r="P564" s="71"/>
    </row>
    <row r="565" spans="16:16" ht="15.75" customHeight="1">
      <c r="P565" s="71"/>
    </row>
    <row r="566" spans="16:16" ht="15.75" customHeight="1">
      <c r="P566" s="71"/>
    </row>
    <row r="567" spans="16:16" ht="15.75" customHeight="1">
      <c r="P567" s="71"/>
    </row>
    <row r="568" spans="16:16" ht="15.75" customHeight="1">
      <c r="P568" s="71"/>
    </row>
    <row r="569" spans="16:16" ht="15.75" customHeight="1">
      <c r="P569" s="71"/>
    </row>
    <row r="570" spans="16:16" ht="15.75" customHeight="1">
      <c r="P570" s="71"/>
    </row>
    <row r="571" spans="16:16" ht="15.75" customHeight="1">
      <c r="P571" s="71"/>
    </row>
    <row r="572" spans="16:16" ht="15.75" customHeight="1">
      <c r="P572" s="71"/>
    </row>
    <row r="573" spans="16:16" ht="15.75" customHeight="1">
      <c r="P573" s="71"/>
    </row>
    <row r="574" spans="16:16" ht="15.75" customHeight="1">
      <c r="P574" s="71"/>
    </row>
    <row r="575" spans="16:16" ht="15.75" customHeight="1">
      <c r="P575" s="71"/>
    </row>
    <row r="576" spans="16:16" ht="15.75" customHeight="1">
      <c r="P576" s="71"/>
    </row>
    <row r="577" spans="16:16" ht="15.75" customHeight="1">
      <c r="P577" s="71"/>
    </row>
    <row r="578" spans="16:16" ht="15.75" customHeight="1">
      <c r="P578" s="71"/>
    </row>
    <row r="579" spans="16:16" ht="15.75" customHeight="1">
      <c r="P579" s="71"/>
    </row>
    <row r="580" spans="16:16" ht="15.75" customHeight="1">
      <c r="P580" s="71"/>
    </row>
    <row r="581" spans="16:16" ht="15.75" customHeight="1">
      <c r="P581" s="71"/>
    </row>
    <row r="582" spans="16:16" ht="15.75" customHeight="1">
      <c r="P582" s="71"/>
    </row>
    <row r="583" spans="16:16" ht="15.75" customHeight="1">
      <c r="P583" s="71"/>
    </row>
    <row r="584" spans="16:16" ht="15.75" customHeight="1">
      <c r="P584" s="71"/>
    </row>
    <row r="585" spans="16:16" ht="15.75" customHeight="1">
      <c r="P585" s="71"/>
    </row>
    <row r="586" spans="16:16" ht="15.75" customHeight="1">
      <c r="P586" s="71"/>
    </row>
    <row r="587" spans="16:16" ht="15.75" customHeight="1">
      <c r="P587" s="71"/>
    </row>
    <row r="588" spans="16:16" ht="15.75" customHeight="1">
      <c r="P588" s="71"/>
    </row>
    <row r="589" spans="16:16" ht="15.75" customHeight="1">
      <c r="P589" s="71"/>
    </row>
    <row r="590" spans="16:16" ht="15.75" customHeight="1">
      <c r="P590" s="71"/>
    </row>
    <row r="591" spans="16:16" ht="15.75" customHeight="1">
      <c r="P591" s="71"/>
    </row>
    <row r="592" spans="16:16" ht="15.75" customHeight="1">
      <c r="P592" s="71"/>
    </row>
    <row r="593" spans="16:16" ht="15.75" customHeight="1">
      <c r="P593" s="71"/>
    </row>
    <row r="594" spans="16:16" ht="15.75" customHeight="1">
      <c r="P594" s="71"/>
    </row>
    <row r="595" spans="16:16" ht="15.75" customHeight="1">
      <c r="P595" s="71"/>
    </row>
    <row r="596" spans="16:16" ht="15.75" customHeight="1">
      <c r="P596" s="71"/>
    </row>
    <row r="597" spans="16:16" ht="15.75" customHeight="1">
      <c r="P597" s="71"/>
    </row>
    <row r="598" spans="16:16" ht="15.75" customHeight="1">
      <c r="P598" s="71"/>
    </row>
    <row r="599" spans="16:16" ht="15.75" customHeight="1">
      <c r="P599" s="71"/>
    </row>
    <row r="600" spans="16:16" ht="15.75" customHeight="1">
      <c r="P600" s="71"/>
    </row>
    <row r="601" spans="16:16" ht="15.75" customHeight="1">
      <c r="P601" s="71"/>
    </row>
    <row r="602" spans="16:16" ht="15.75" customHeight="1">
      <c r="P602" s="71"/>
    </row>
    <row r="603" spans="16:16" ht="15.75" customHeight="1">
      <c r="P603" s="71"/>
    </row>
    <row r="604" spans="16:16" ht="15.75" customHeight="1">
      <c r="P604" s="71"/>
    </row>
    <row r="605" spans="16:16" ht="15.75" customHeight="1">
      <c r="P605" s="71"/>
    </row>
    <row r="606" spans="16:16" ht="15.75" customHeight="1">
      <c r="P606" s="71"/>
    </row>
    <row r="607" spans="16:16" ht="15.75" customHeight="1">
      <c r="P607" s="71"/>
    </row>
    <row r="608" spans="16:16" ht="15.75" customHeight="1">
      <c r="P608" s="71"/>
    </row>
    <row r="609" spans="16:16" ht="15.75" customHeight="1">
      <c r="P609" s="71"/>
    </row>
    <row r="610" spans="16:16" ht="15.75" customHeight="1">
      <c r="P610" s="71"/>
    </row>
    <row r="611" spans="16:16" ht="15.75" customHeight="1">
      <c r="P611" s="71"/>
    </row>
    <row r="612" spans="16:16" ht="15.75" customHeight="1">
      <c r="P612" s="71"/>
    </row>
    <row r="613" spans="16:16" ht="15.75" customHeight="1">
      <c r="P613" s="71"/>
    </row>
    <row r="614" spans="16:16" ht="15.75" customHeight="1">
      <c r="P614" s="71"/>
    </row>
    <row r="615" spans="16:16" ht="15.75" customHeight="1">
      <c r="P615" s="71"/>
    </row>
    <row r="616" spans="16:16" ht="15.75" customHeight="1">
      <c r="P616" s="71"/>
    </row>
    <row r="617" spans="16:16" ht="15.75" customHeight="1">
      <c r="P617" s="71"/>
    </row>
    <row r="618" spans="16:16" ht="15.75" customHeight="1">
      <c r="P618" s="71"/>
    </row>
    <row r="619" spans="16:16" ht="15.75" customHeight="1">
      <c r="P619" s="71"/>
    </row>
    <row r="620" spans="16:16" ht="15.75" customHeight="1">
      <c r="P620" s="71"/>
    </row>
    <row r="621" spans="16:16" ht="15.75" customHeight="1">
      <c r="P621" s="71"/>
    </row>
    <row r="622" spans="16:16" ht="15.75" customHeight="1">
      <c r="P622" s="71"/>
    </row>
    <row r="623" spans="16:16" ht="15.75" customHeight="1">
      <c r="P623" s="71"/>
    </row>
    <row r="624" spans="16:16" ht="15.75" customHeight="1">
      <c r="P624" s="71"/>
    </row>
    <row r="625" spans="16:16" ht="15.75" customHeight="1">
      <c r="P625" s="71"/>
    </row>
    <row r="626" spans="16:16" ht="15.75" customHeight="1">
      <c r="P626" s="71"/>
    </row>
    <row r="627" spans="16:16" ht="15.75" customHeight="1">
      <c r="P627" s="71"/>
    </row>
    <row r="628" spans="16:16" ht="15.75" customHeight="1">
      <c r="P628" s="71"/>
    </row>
    <row r="629" spans="16:16" ht="15.75" customHeight="1">
      <c r="P629" s="71"/>
    </row>
    <row r="630" spans="16:16" ht="15.75" customHeight="1">
      <c r="P630" s="71"/>
    </row>
    <row r="631" spans="16:16" ht="15.75" customHeight="1">
      <c r="P631" s="71"/>
    </row>
    <row r="632" spans="16:16" ht="15.75" customHeight="1">
      <c r="P632" s="71"/>
    </row>
    <row r="633" spans="16:16" ht="15.75" customHeight="1">
      <c r="P633" s="71"/>
    </row>
    <row r="634" spans="16:16" ht="15.75" customHeight="1">
      <c r="P634" s="71"/>
    </row>
    <row r="635" spans="16:16" ht="15.75" customHeight="1">
      <c r="P635" s="71"/>
    </row>
    <row r="636" spans="16:16" ht="15.75" customHeight="1">
      <c r="P636" s="71"/>
    </row>
    <row r="637" spans="16:16" ht="15.75" customHeight="1">
      <c r="P637" s="71"/>
    </row>
    <row r="638" spans="16:16" ht="15.75" customHeight="1">
      <c r="P638" s="71"/>
    </row>
    <row r="639" spans="16:16" ht="15.75" customHeight="1">
      <c r="P639" s="71"/>
    </row>
    <row r="640" spans="16:16" ht="15.75" customHeight="1">
      <c r="P640" s="71"/>
    </row>
    <row r="641" spans="16:16" ht="15.75" customHeight="1">
      <c r="P641" s="71"/>
    </row>
    <row r="642" spans="16:16" ht="15.75" customHeight="1">
      <c r="P642" s="71"/>
    </row>
    <row r="643" spans="16:16" ht="15.75" customHeight="1">
      <c r="P643" s="71"/>
    </row>
    <row r="644" spans="16:16" ht="15.75" customHeight="1">
      <c r="P644" s="71"/>
    </row>
    <row r="645" spans="16:16" ht="15.75" customHeight="1">
      <c r="P645" s="71"/>
    </row>
    <row r="646" spans="16:16" ht="15.75" customHeight="1">
      <c r="P646" s="71"/>
    </row>
    <row r="647" spans="16:16" ht="15.75" customHeight="1">
      <c r="P647" s="71"/>
    </row>
    <row r="648" spans="16:16" ht="15.75" customHeight="1">
      <c r="P648" s="71"/>
    </row>
    <row r="649" spans="16:16" ht="15.75" customHeight="1">
      <c r="P649" s="71"/>
    </row>
    <row r="650" spans="16:16" ht="15.75" customHeight="1">
      <c r="P650" s="71"/>
    </row>
    <row r="651" spans="16:16" ht="15.75" customHeight="1">
      <c r="P651" s="71"/>
    </row>
    <row r="652" spans="16:16" ht="15.75" customHeight="1">
      <c r="P652" s="71"/>
    </row>
    <row r="653" spans="16:16" ht="15.75" customHeight="1">
      <c r="P653" s="71"/>
    </row>
    <row r="654" spans="16:16" ht="15.75" customHeight="1">
      <c r="P654" s="71"/>
    </row>
    <row r="655" spans="16:16" ht="15.75" customHeight="1">
      <c r="P655" s="71"/>
    </row>
    <row r="656" spans="16:16" ht="15.75" customHeight="1">
      <c r="P656" s="71"/>
    </row>
    <row r="657" spans="16:16" ht="15.75" customHeight="1">
      <c r="P657" s="71"/>
    </row>
    <row r="658" spans="16:16" ht="15.75" customHeight="1">
      <c r="P658" s="71"/>
    </row>
    <row r="659" spans="16:16" ht="15.75" customHeight="1">
      <c r="P659" s="71"/>
    </row>
    <row r="660" spans="16:16" ht="15.75" customHeight="1">
      <c r="P660" s="71"/>
    </row>
    <row r="661" spans="16:16" ht="15.75" customHeight="1">
      <c r="P661" s="71"/>
    </row>
    <row r="662" spans="16:16" ht="15.75" customHeight="1">
      <c r="P662" s="71"/>
    </row>
    <row r="663" spans="16:16" ht="15.75" customHeight="1">
      <c r="P663" s="71"/>
    </row>
    <row r="664" spans="16:16" ht="15.75" customHeight="1">
      <c r="P664" s="71"/>
    </row>
    <row r="665" spans="16:16" ht="15.75" customHeight="1">
      <c r="P665" s="71"/>
    </row>
    <row r="666" spans="16:16" ht="15.75" customHeight="1">
      <c r="P666" s="71"/>
    </row>
    <row r="667" spans="16:16" ht="15.75" customHeight="1">
      <c r="P667" s="71"/>
    </row>
    <row r="668" spans="16:16" ht="15.75" customHeight="1">
      <c r="P668" s="71"/>
    </row>
    <row r="669" spans="16:16" ht="15.75" customHeight="1">
      <c r="P669" s="71"/>
    </row>
    <row r="670" spans="16:16" ht="15.75" customHeight="1">
      <c r="P670" s="71"/>
    </row>
    <row r="671" spans="16:16" ht="15.75" customHeight="1">
      <c r="P671" s="71"/>
    </row>
    <row r="672" spans="16:16" ht="15.75" customHeight="1">
      <c r="P672" s="71"/>
    </row>
    <row r="673" spans="16:16" ht="15.75" customHeight="1">
      <c r="P673" s="71"/>
    </row>
    <row r="674" spans="16:16" ht="15.75" customHeight="1">
      <c r="P674" s="71"/>
    </row>
    <row r="675" spans="16:16" ht="15.75" customHeight="1">
      <c r="P675" s="71"/>
    </row>
    <row r="676" spans="16:16" ht="15.75" customHeight="1">
      <c r="P676" s="71"/>
    </row>
    <row r="677" spans="16:16" ht="15.75" customHeight="1">
      <c r="P677" s="71"/>
    </row>
    <row r="678" spans="16:16" ht="15.75" customHeight="1">
      <c r="P678" s="71"/>
    </row>
    <row r="679" spans="16:16" ht="15.75" customHeight="1">
      <c r="P679" s="71"/>
    </row>
    <row r="680" spans="16:16" ht="15.75" customHeight="1">
      <c r="P680" s="71"/>
    </row>
    <row r="681" spans="16:16" ht="15.75" customHeight="1">
      <c r="P681" s="71"/>
    </row>
    <row r="682" spans="16:16" ht="15.75" customHeight="1">
      <c r="P682" s="71"/>
    </row>
    <row r="683" spans="16:16" ht="15.75" customHeight="1">
      <c r="P683" s="71"/>
    </row>
    <row r="684" spans="16:16" ht="15.75" customHeight="1">
      <c r="P684" s="71"/>
    </row>
    <row r="685" spans="16:16" ht="15.75" customHeight="1">
      <c r="P685" s="71"/>
    </row>
    <row r="686" spans="16:16" ht="15.75" customHeight="1">
      <c r="P686" s="71"/>
    </row>
    <row r="687" spans="16:16" ht="15.75" customHeight="1">
      <c r="P687" s="71"/>
    </row>
    <row r="688" spans="16:16" ht="15.75" customHeight="1">
      <c r="P688" s="71"/>
    </row>
    <row r="689" spans="16:16" ht="15.75" customHeight="1">
      <c r="P689" s="71"/>
    </row>
    <row r="690" spans="16:16" ht="15.75" customHeight="1">
      <c r="P690" s="71"/>
    </row>
    <row r="691" spans="16:16" ht="15.75" customHeight="1">
      <c r="P691" s="71"/>
    </row>
    <row r="692" spans="16:16" ht="15.75" customHeight="1">
      <c r="P692" s="71"/>
    </row>
    <row r="693" spans="16:16" ht="15.75" customHeight="1">
      <c r="P693" s="71"/>
    </row>
    <row r="694" spans="16:16" ht="15.75" customHeight="1">
      <c r="P694" s="71"/>
    </row>
    <row r="695" spans="16:16" ht="15.75" customHeight="1">
      <c r="P695" s="71"/>
    </row>
    <row r="696" spans="16:16" ht="15.75" customHeight="1">
      <c r="P696" s="71"/>
    </row>
    <row r="697" spans="16:16" ht="15.75" customHeight="1">
      <c r="P697" s="71"/>
    </row>
    <row r="698" spans="16:16" ht="15.75" customHeight="1">
      <c r="P698" s="71"/>
    </row>
    <row r="699" spans="16:16" ht="15.75" customHeight="1">
      <c r="P699" s="71"/>
    </row>
    <row r="700" spans="16:16" ht="15.75" customHeight="1">
      <c r="P700" s="71"/>
    </row>
    <row r="701" spans="16:16" ht="15.75" customHeight="1">
      <c r="P701" s="71"/>
    </row>
    <row r="702" spans="16:16" ht="15.75" customHeight="1">
      <c r="P702" s="71"/>
    </row>
    <row r="703" spans="16:16" ht="15.75" customHeight="1">
      <c r="P703" s="71"/>
    </row>
    <row r="704" spans="16:16" ht="15.75" customHeight="1">
      <c r="P704" s="71"/>
    </row>
    <row r="705" spans="16:16" ht="15.75" customHeight="1">
      <c r="P705" s="71"/>
    </row>
    <row r="706" spans="16:16" ht="15.75" customHeight="1">
      <c r="P706" s="71"/>
    </row>
    <row r="707" spans="16:16" ht="15.75" customHeight="1">
      <c r="P707" s="71"/>
    </row>
    <row r="708" spans="16:16" ht="15.75" customHeight="1">
      <c r="P708" s="71"/>
    </row>
    <row r="709" spans="16:16" ht="15.75" customHeight="1">
      <c r="P709" s="71"/>
    </row>
    <row r="710" spans="16:16" ht="15.75" customHeight="1">
      <c r="P710" s="71"/>
    </row>
    <row r="711" spans="16:16" ht="15.75" customHeight="1">
      <c r="P711" s="71"/>
    </row>
    <row r="712" spans="16:16" ht="15.75" customHeight="1">
      <c r="P712" s="71"/>
    </row>
    <row r="713" spans="16:16" ht="15.75" customHeight="1">
      <c r="P713" s="71"/>
    </row>
    <row r="714" spans="16:16" ht="15.75" customHeight="1">
      <c r="P714" s="71"/>
    </row>
    <row r="715" spans="16:16" ht="15.75" customHeight="1">
      <c r="P715" s="71"/>
    </row>
    <row r="716" spans="16:16" ht="15.75" customHeight="1">
      <c r="P716" s="71"/>
    </row>
    <row r="717" spans="16:16" ht="15.75" customHeight="1">
      <c r="P717" s="71"/>
    </row>
    <row r="718" spans="16:16" ht="15.75" customHeight="1">
      <c r="P718" s="71"/>
    </row>
    <row r="719" spans="16:16" ht="15.75" customHeight="1">
      <c r="P719" s="71"/>
    </row>
    <row r="720" spans="16:16" ht="15.75" customHeight="1">
      <c r="P720" s="71"/>
    </row>
    <row r="721" spans="16:16" ht="15.75" customHeight="1">
      <c r="P721" s="71"/>
    </row>
    <row r="722" spans="16:16" ht="15.75" customHeight="1">
      <c r="P722" s="71"/>
    </row>
    <row r="723" spans="16:16" ht="15.75" customHeight="1">
      <c r="P723" s="71"/>
    </row>
    <row r="724" spans="16:16" ht="15.75" customHeight="1">
      <c r="P724" s="71"/>
    </row>
    <row r="725" spans="16:16" ht="15.75" customHeight="1">
      <c r="P725" s="71"/>
    </row>
    <row r="726" spans="16:16" ht="15.75" customHeight="1">
      <c r="P726" s="71"/>
    </row>
    <row r="727" spans="16:16" ht="15.75" customHeight="1">
      <c r="P727" s="71"/>
    </row>
    <row r="728" spans="16:16" ht="15.75" customHeight="1">
      <c r="P728" s="71"/>
    </row>
    <row r="729" spans="16:16" ht="15.75" customHeight="1">
      <c r="P729" s="71"/>
    </row>
    <row r="730" spans="16:16" ht="15.75" customHeight="1">
      <c r="P730" s="71"/>
    </row>
    <row r="731" spans="16:16" ht="15.75" customHeight="1">
      <c r="P731" s="71"/>
    </row>
    <row r="732" spans="16:16" ht="15.75" customHeight="1">
      <c r="P732" s="71"/>
    </row>
    <row r="733" spans="16:16" ht="15.75" customHeight="1">
      <c r="P733" s="71"/>
    </row>
    <row r="734" spans="16:16" ht="15.75" customHeight="1">
      <c r="P734" s="71"/>
    </row>
    <row r="735" spans="16:16" ht="15.75" customHeight="1">
      <c r="P735" s="71"/>
    </row>
    <row r="736" spans="16:16" ht="15.75" customHeight="1">
      <c r="P736" s="71"/>
    </row>
    <row r="737" spans="16:16" ht="15.75" customHeight="1">
      <c r="P737" s="71"/>
    </row>
    <row r="738" spans="16:16" ht="15.75" customHeight="1">
      <c r="P738" s="71"/>
    </row>
    <row r="739" spans="16:16" ht="15.75" customHeight="1">
      <c r="P739" s="71"/>
    </row>
    <row r="740" spans="16:16" ht="15.75" customHeight="1">
      <c r="P740" s="71"/>
    </row>
    <row r="741" spans="16:16" ht="15.75" customHeight="1">
      <c r="P741" s="71"/>
    </row>
    <row r="742" spans="16:16" ht="15.75" customHeight="1">
      <c r="P742" s="71"/>
    </row>
    <row r="743" spans="16:16" ht="15.75" customHeight="1">
      <c r="P743" s="71"/>
    </row>
    <row r="744" spans="16:16" ht="15.75" customHeight="1">
      <c r="P744" s="71"/>
    </row>
    <row r="745" spans="16:16" ht="15.75" customHeight="1">
      <c r="P745" s="71"/>
    </row>
    <row r="746" spans="16:16" ht="15.75" customHeight="1">
      <c r="P746" s="71"/>
    </row>
    <row r="747" spans="16:16" ht="15.75" customHeight="1">
      <c r="P747" s="71"/>
    </row>
    <row r="748" spans="16:16" ht="15.75" customHeight="1">
      <c r="P748" s="71"/>
    </row>
    <row r="749" spans="16:16" ht="15.75" customHeight="1">
      <c r="P749" s="71"/>
    </row>
    <row r="750" spans="16:16" ht="15.75" customHeight="1">
      <c r="P750" s="71"/>
    </row>
    <row r="751" spans="16:16" ht="15.75" customHeight="1">
      <c r="P751" s="71"/>
    </row>
    <row r="752" spans="16:16" ht="15.75" customHeight="1">
      <c r="P752" s="71"/>
    </row>
    <row r="753" spans="16:16" ht="15.75" customHeight="1">
      <c r="P753" s="71"/>
    </row>
    <row r="754" spans="16:16" ht="15.75" customHeight="1">
      <c r="P754" s="71"/>
    </row>
    <row r="755" spans="16:16" ht="15.75" customHeight="1">
      <c r="P755" s="71"/>
    </row>
    <row r="756" spans="16:16" ht="15.75" customHeight="1">
      <c r="P756" s="71"/>
    </row>
    <row r="757" spans="16:16" ht="15.75" customHeight="1">
      <c r="P757" s="71"/>
    </row>
    <row r="758" spans="16:16" ht="15.75" customHeight="1">
      <c r="P758" s="71"/>
    </row>
    <row r="759" spans="16:16" ht="15.75" customHeight="1">
      <c r="P759" s="71"/>
    </row>
    <row r="760" spans="16:16" ht="15.75" customHeight="1">
      <c r="P760" s="71"/>
    </row>
    <row r="761" spans="16:16" ht="15.75" customHeight="1">
      <c r="P761" s="71"/>
    </row>
    <row r="762" spans="16:16" ht="15.75" customHeight="1">
      <c r="P762" s="71"/>
    </row>
    <row r="763" spans="16:16" ht="15.75" customHeight="1">
      <c r="P763" s="71"/>
    </row>
    <row r="764" spans="16:16" ht="15.75" customHeight="1">
      <c r="P764" s="71"/>
    </row>
    <row r="765" spans="16:16" ht="15.75" customHeight="1">
      <c r="P765" s="71"/>
    </row>
    <row r="766" spans="16:16" ht="15.75" customHeight="1">
      <c r="P766" s="71"/>
    </row>
    <row r="767" spans="16:16" ht="15.75" customHeight="1">
      <c r="P767" s="71"/>
    </row>
    <row r="768" spans="16:16" ht="15.75" customHeight="1">
      <c r="P768" s="71"/>
    </row>
    <row r="769" spans="16:16" ht="15.75" customHeight="1">
      <c r="P769" s="71"/>
    </row>
    <row r="770" spans="16:16" ht="15.75" customHeight="1">
      <c r="P770" s="71"/>
    </row>
    <row r="771" spans="16:16" ht="15.75" customHeight="1">
      <c r="P771" s="71"/>
    </row>
    <row r="772" spans="16:16" ht="15.75" customHeight="1">
      <c r="P772" s="71"/>
    </row>
    <row r="773" spans="16:16" ht="15.75" customHeight="1">
      <c r="P773" s="71"/>
    </row>
    <row r="774" spans="16:16" ht="15.75" customHeight="1">
      <c r="P774" s="71"/>
    </row>
    <row r="775" spans="16:16" ht="15.75" customHeight="1">
      <c r="P775" s="71"/>
    </row>
    <row r="776" spans="16:16" ht="15.75" customHeight="1">
      <c r="P776" s="71"/>
    </row>
    <row r="777" spans="16:16" ht="15.75" customHeight="1">
      <c r="P777" s="71"/>
    </row>
    <row r="778" spans="16:16" ht="15.75" customHeight="1">
      <c r="P778" s="71"/>
    </row>
    <row r="779" spans="16:16" ht="15.75" customHeight="1">
      <c r="P779" s="71"/>
    </row>
    <row r="780" spans="16:16" ht="15.75" customHeight="1">
      <c r="P780" s="71"/>
    </row>
    <row r="781" spans="16:16" ht="15.75" customHeight="1">
      <c r="P781" s="71"/>
    </row>
    <row r="782" spans="16:16" ht="15.75" customHeight="1">
      <c r="P782" s="71"/>
    </row>
    <row r="783" spans="16:16" ht="15.75" customHeight="1">
      <c r="P783" s="71"/>
    </row>
    <row r="784" spans="16:16" ht="15.75" customHeight="1">
      <c r="P784" s="71"/>
    </row>
    <row r="785" spans="16:16" ht="15.75" customHeight="1">
      <c r="P785" s="71"/>
    </row>
    <row r="786" spans="16:16" ht="15.75" customHeight="1">
      <c r="P786" s="71"/>
    </row>
    <row r="787" spans="16:16" ht="15.75" customHeight="1">
      <c r="P787" s="71"/>
    </row>
    <row r="788" spans="16:16" ht="15.75" customHeight="1">
      <c r="P788" s="71"/>
    </row>
    <row r="789" spans="16:16" ht="15.75" customHeight="1">
      <c r="P789" s="71"/>
    </row>
    <row r="790" spans="16:16" ht="15.75" customHeight="1">
      <c r="P790" s="71"/>
    </row>
    <row r="791" spans="16:16" ht="15.75" customHeight="1">
      <c r="P791" s="71"/>
    </row>
    <row r="792" spans="16:16" ht="15.75" customHeight="1">
      <c r="P792" s="71"/>
    </row>
    <row r="793" spans="16:16" ht="15.75" customHeight="1">
      <c r="P793" s="71"/>
    </row>
    <row r="794" spans="16:16" ht="15.75" customHeight="1">
      <c r="P794" s="71"/>
    </row>
    <row r="795" spans="16:16" ht="15.75" customHeight="1">
      <c r="P795" s="71"/>
    </row>
    <row r="796" spans="16:16" ht="15.75" customHeight="1">
      <c r="P796" s="71"/>
    </row>
    <row r="797" spans="16:16" ht="15.75" customHeight="1">
      <c r="P797" s="71"/>
    </row>
    <row r="798" spans="16:16" ht="15.75" customHeight="1">
      <c r="P798" s="71"/>
    </row>
    <row r="799" spans="16:16" ht="15.75" customHeight="1">
      <c r="P799" s="71"/>
    </row>
    <row r="800" spans="16:16" ht="15.75" customHeight="1">
      <c r="P800" s="71"/>
    </row>
    <row r="801" spans="16:16" ht="15.75" customHeight="1">
      <c r="P801" s="71"/>
    </row>
    <row r="802" spans="16:16" ht="15.75" customHeight="1">
      <c r="P802" s="71"/>
    </row>
    <row r="803" spans="16:16" ht="15.75" customHeight="1">
      <c r="P803" s="71"/>
    </row>
    <row r="804" spans="16:16" ht="15.75" customHeight="1">
      <c r="P804" s="71"/>
    </row>
    <row r="805" spans="16:16" ht="15.75" customHeight="1">
      <c r="P805" s="71"/>
    </row>
    <row r="806" spans="16:16" ht="15.75" customHeight="1">
      <c r="P806" s="71"/>
    </row>
    <row r="807" spans="16:16" ht="15.75" customHeight="1">
      <c r="P807" s="71"/>
    </row>
    <row r="808" spans="16:16" ht="15.75" customHeight="1">
      <c r="P808" s="71"/>
    </row>
    <row r="809" spans="16:16" ht="15.75" customHeight="1">
      <c r="P809" s="71"/>
    </row>
    <row r="810" spans="16:16" ht="15.75" customHeight="1">
      <c r="P810" s="71"/>
    </row>
    <row r="811" spans="16:16" ht="15.75" customHeight="1">
      <c r="P811" s="71"/>
    </row>
    <row r="812" spans="16:16" ht="15.75" customHeight="1">
      <c r="P812" s="71"/>
    </row>
    <row r="813" spans="16:16" ht="15.75" customHeight="1">
      <c r="P813" s="71"/>
    </row>
    <row r="814" spans="16:16" ht="15.75" customHeight="1">
      <c r="P814" s="71"/>
    </row>
    <row r="815" spans="16:16" ht="15.75" customHeight="1">
      <c r="P815" s="71"/>
    </row>
    <row r="816" spans="16:16" ht="15.75" customHeight="1">
      <c r="P816" s="71"/>
    </row>
    <row r="817" spans="16:16" ht="15.75" customHeight="1">
      <c r="P817" s="71"/>
    </row>
    <row r="818" spans="16:16" ht="15.75" customHeight="1">
      <c r="P818" s="71"/>
    </row>
    <row r="819" spans="16:16" ht="15.75" customHeight="1">
      <c r="P819" s="71"/>
    </row>
    <row r="820" spans="16:16" ht="15.75" customHeight="1">
      <c r="P820" s="71"/>
    </row>
    <row r="821" spans="16:16" ht="15.75" customHeight="1">
      <c r="P821" s="71"/>
    </row>
    <row r="822" spans="16:16" ht="15.75" customHeight="1">
      <c r="P822" s="71"/>
    </row>
    <row r="823" spans="16:16" ht="15.75" customHeight="1">
      <c r="P823" s="71"/>
    </row>
    <row r="824" spans="16:16" ht="15.75" customHeight="1">
      <c r="P824" s="71"/>
    </row>
    <row r="825" spans="16:16" ht="15.75" customHeight="1">
      <c r="P825" s="71"/>
    </row>
    <row r="826" spans="16:16" ht="15.75" customHeight="1">
      <c r="P826" s="71"/>
    </row>
    <row r="827" spans="16:16" ht="15.75" customHeight="1">
      <c r="P827" s="71"/>
    </row>
    <row r="828" spans="16:16" ht="15.75" customHeight="1">
      <c r="P828" s="71"/>
    </row>
    <row r="829" spans="16:16" ht="15.75" customHeight="1">
      <c r="P829" s="71"/>
    </row>
    <row r="830" spans="16:16" ht="15.75" customHeight="1">
      <c r="P830" s="71"/>
    </row>
    <row r="831" spans="16:16" ht="15.75" customHeight="1">
      <c r="P831" s="71"/>
    </row>
    <row r="832" spans="16:16" ht="15.75" customHeight="1">
      <c r="P832" s="71"/>
    </row>
    <row r="833" spans="16:16" ht="15.75" customHeight="1">
      <c r="P833" s="71"/>
    </row>
    <row r="834" spans="16:16" ht="15.75" customHeight="1">
      <c r="P834" s="71"/>
    </row>
    <row r="835" spans="16:16" ht="15.75" customHeight="1">
      <c r="P835" s="71"/>
    </row>
    <row r="836" spans="16:16" ht="15.75" customHeight="1">
      <c r="P836" s="71"/>
    </row>
    <row r="837" spans="16:16" ht="15.75" customHeight="1">
      <c r="P837" s="71"/>
    </row>
    <row r="838" spans="16:16" ht="15.75" customHeight="1">
      <c r="P838" s="71"/>
    </row>
    <row r="839" spans="16:16" ht="15.75" customHeight="1">
      <c r="P839" s="71"/>
    </row>
    <row r="840" spans="16:16" ht="15.75" customHeight="1">
      <c r="P840" s="71"/>
    </row>
    <row r="841" spans="16:16" ht="15.75" customHeight="1">
      <c r="P841" s="71"/>
    </row>
    <row r="842" spans="16:16" ht="15.75" customHeight="1">
      <c r="P842" s="71"/>
    </row>
    <row r="843" spans="16:16" ht="15.75" customHeight="1">
      <c r="P843" s="71"/>
    </row>
    <row r="844" spans="16:16" ht="15.75" customHeight="1">
      <c r="P844" s="71"/>
    </row>
    <row r="845" spans="16:16" ht="15.75" customHeight="1">
      <c r="P845" s="71"/>
    </row>
    <row r="846" spans="16:16" ht="15.75" customHeight="1">
      <c r="P846" s="71"/>
    </row>
    <row r="847" spans="16:16" ht="15.75" customHeight="1">
      <c r="P847" s="71"/>
    </row>
    <row r="848" spans="16:16" ht="15.75" customHeight="1">
      <c r="P848" s="71"/>
    </row>
    <row r="849" spans="16:16" ht="15.75" customHeight="1">
      <c r="P849" s="71"/>
    </row>
    <row r="850" spans="16:16" ht="15.75" customHeight="1">
      <c r="P850" s="71"/>
    </row>
    <row r="851" spans="16:16" ht="15.75" customHeight="1">
      <c r="P851" s="71"/>
    </row>
    <row r="852" spans="16:16" ht="15.75" customHeight="1">
      <c r="P852" s="71"/>
    </row>
    <row r="853" spans="16:16" ht="15.75" customHeight="1">
      <c r="P853" s="71"/>
    </row>
    <row r="854" spans="16:16" ht="15.75" customHeight="1">
      <c r="P854" s="71"/>
    </row>
    <row r="855" spans="16:16" ht="15.75" customHeight="1">
      <c r="P855" s="71"/>
    </row>
    <row r="856" spans="16:16" ht="15.75" customHeight="1">
      <c r="P856" s="71"/>
    </row>
    <row r="857" spans="16:16" ht="15.75" customHeight="1">
      <c r="P857" s="71"/>
    </row>
    <row r="858" spans="16:16" ht="15.75" customHeight="1">
      <c r="P858" s="71"/>
    </row>
    <row r="859" spans="16:16" ht="15.75" customHeight="1">
      <c r="P859" s="71"/>
    </row>
    <row r="860" spans="16:16" ht="15.75" customHeight="1">
      <c r="P860" s="71"/>
    </row>
    <row r="861" spans="16:16" ht="15.75" customHeight="1">
      <c r="P861" s="71"/>
    </row>
    <row r="862" spans="16:16" ht="15.75" customHeight="1">
      <c r="P862" s="71"/>
    </row>
    <row r="863" spans="16:16" ht="15.75" customHeight="1">
      <c r="P863" s="71"/>
    </row>
    <row r="864" spans="16:16" ht="15.75" customHeight="1">
      <c r="P864" s="71"/>
    </row>
    <row r="865" spans="16:16" ht="15.75" customHeight="1">
      <c r="P865" s="71"/>
    </row>
    <row r="866" spans="16:16" ht="15.75" customHeight="1">
      <c r="P866" s="71"/>
    </row>
    <row r="867" spans="16:16" ht="15.75" customHeight="1">
      <c r="P867" s="71"/>
    </row>
    <row r="868" spans="16:16" ht="15.75" customHeight="1">
      <c r="P868" s="71"/>
    </row>
    <row r="869" spans="16:16" ht="15.75" customHeight="1">
      <c r="P869" s="71"/>
    </row>
    <row r="870" spans="16:16" ht="15.75" customHeight="1">
      <c r="P870" s="71"/>
    </row>
    <row r="871" spans="16:16" ht="15.75" customHeight="1">
      <c r="P871" s="71"/>
    </row>
    <row r="872" spans="16:16" ht="15.75" customHeight="1">
      <c r="P872" s="71"/>
    </row>
    <row r="873" spans="16:16" ht="15.75" customHeight="1">
      <c r="P873" s="71"/>
    </row>
    <row r="874" spans="16:16" ht="15.75" customHeight="1">
      <c r="P874" s="71"/>
    </row>
    <row r="875" spans="16:16" ht="15.75" customHeight="1">
      <c r="P875" s="71"/>
    </row>
    <row r="876" spans="16:16" ht="15.75" customHeight="1">
      <c r="P876" s="71"/>
    </row>
    <row r="877" spans="16:16" ht="15.75" customHeight="1">
      <c r="P877" s="71"/>
    </row>
    <row r="878" spans="16:16" ht="15.75" customHeight="1">
      <c r="P878" s="71"/>
    </row>
    <row r="879" spans="16:16" ht="15.75" customHeight="1">
      <c r="P879" s="71"/>
    </row>
    <row r="880" spans="16:16" ht="15.75" customHeight="1">
      <c r="P880" s="71"/>
    </row>
    <row r="881" spans="16:16" ht="15.75" customHeight="1">
      <c r="P881" s="71"/>
    </row>
    <row r="882" spans="16:16" ht="15.75" customHeight="1">
      <c r="P882" s="71"/>
    </row>
    <row r="883" spans="16:16" ht="15.75" customHeight="1">
      <c r="P883" s="71"/>
    </row>
    <row r="884" spans="16:16" ht="15.75" customHeight="1">
      <c r="P884" s="71"/>
    </row>
    <row r="885" spans="16:16" ht="15.75" customHeight="1">
      <c r="P885" s="71"/>
    </row>
    <row r="886" spans="16:16" ht="15.75" customHeight="1">
      <c r="P886" s="71"/>
    </row>
    <row r="887" spans="16:16" ht="15.75" customHeight="1">
      <c r="P887" s="71"/>
    </row>
    <row r="888" spans="16:16" ht="15.75" customHeight="1">
      <c r="P888" s="71"/>
    </row>
    <row r="889" spans="16:16" ht="15.75" customHeight="1">
      <c r="P889" s="71"/>
    </row>
    <row r="890" spans="16:16" ht="15.75" customHeight="1">
      <c r="P890" s="71"/>
    </row>
    <row r="891" spans="16:16" ht="15.75" customHeight="1">
      <c r="P891" s="71"/>
    </row>
    <row r="892" spans="16:16" ht="15.75" customHeight="1">
      <c r="P892" s="71"/>
    </row>
    <row r="893" spans="16:16" ht="15.75" customHeight="1">
      <c r="P893" s="71"/>
    </row>
    <row r="894" spans="16:16" ht="15.75" customHeight="1">
      <c r="P894" s="71"/>
    </row>
    <row r="895" spans="16:16" ht="15.75" customHeight="1">
      <c r="P895" s="71"/>
    </row>
    <row r="896" spans="16:16" ht="15.75" customHeight="1">
      <c r="P896" s="71"/>
    </row>
    <row r="897" spans="16:16" ht="15.75" customHeight="1">
      <c r="P897" s="71"/>
    </row>
    <row r="898" spans="16:16" ht="15.75" customHeight="1">
      <c r="P898" s="71"/>
    </row>
    <row r="899" spans="16:16" ht="15.75" customHeight="1">
      <c r="P899" s="71"/>
    </row>
    <row r="900" spans="16:16" ht="15.75" customHeight="1">
      <c r="P900" s="71"/>
    </row>
    <row r="901" spans="16:16" ht="15.75" customHeight="1">
      <c r="P901" s="71"/>
    </row>
    <row r="902" spans="16:16" ht="15.75" customHeight="1">
      <c r="P902" s="71"/>
    </row>
    <row r="903" spans="16:16" ht="15.75" customHeight="1">
      <c r="P903" s="71"/>
    </row>
    <row r="904" spans="16:16" ht="15.75" customHeight="1">
      <c r="P904" s="71"/>
    </row>
    <row r="905" spans="16:16" ht="15.75" customHeight="1">
      <c r="P905" s="71"/>
    </row>
    <row r="906" spans="16:16" ht="15.75" customHeight="1">
      <c r="P906" s="71"/>
    </row>
    <row r="907" spans="16:16" ht="15.75" customHeight="1">
      <c r="P907" s="71"/>
    </row>
    <row r="908" spans="16:16" ht="15.75" customHeight="1">
      <c r="P908" s="71"/>
    </row>
    <row r="909" spans="16:16" ht="15.75" customHeight="1">
      <c r="P909" s="71"/>
    </row>
    <row r="910" spans="16:16" ht="15.75" customHeight="1">
      <c r="P910" s="71"/>
    </row>
    <row r="911" spans="16:16" ht="15.75" customHeight="1">
      <c r="P911" s="71"/>
    </row>
    <row r="912" spans="16:16" ht="15.75" customHeight="1">
      <c r="P912" s="71"/>
    </row>
    <row r="913" spans="16:16" ht="15.75" customHeight="1">
      <c r="P913" s="71"/>
    </row>
    <row r="914" spans="16:16" ht="15.75" customHeight="1">
      <c r="P914" s="71"/>
    </row>
    <row r="915" spans="16:16" ht="15.75" customHeight="1">
      <c r="P915" s="71"/>
    </row>
    <row r="916" spans="16:16" ht="15.75" customHeight="1">
      <c r="P916" s="71"/>
    </row>
    <row r="917" spans="16:16" ht="15.75" customHeight="1">
      <c r="P917" s="71"/>
    </row>
    <row r="918" spans="16:16" ht="15.75" customHeight="1">
      <c r="P918" s="71"/>
    </row>
    <row r="919" spans="16:16" ht="15.75" customHeight="1">
      <c r="P919" s="71"/>
    </row>
    <row r="920" spans="16:16" ht="15.75" customHeight="1">
      <c r="P920" s="71"/>
    </row>
    <row r="921" spans="16:16" ht="15.75" customHeight="1">
      <c r="P921" s="71"/>
    </row>
    <row r="922" spans="16:16" ht="15.75" customHeight="1">
      <c r="P922" s="71"/>
    </row>
    <row r="923" spans="16:16" ht="15.75" customHeight="1">
      <c r="P923" s="71"/>
    </row>
    <row r="924" spans="16:16" ht="15.75" customHeight="1">
      <c r="P924" s="71"/>
    </row>
    <row r="925" spans="16:16" ht="15.75" customHeight="1">
      <c r="P925" s="71"/>
    </row>
    <row r="926" spans="16:16" ht="15.75" customHeight="1">
      <c r="P926" s="71"/>
    </row>
    <row r="927" spans="16:16" ht="15.75" customHeight="1">
      <c r="P927" s="71"/>
    </row>
    <row r="928" spans="16:16" ht="15.75" customHeight="1">
      <c r="P928" s="71"/>
    </row>
    <row r="929" spans="16:16" ht="15.75" customHeight="1">
      <c r="P929" s="71"/>
    </row>
    <row r="930" spans="16:16" ht="15.75" customHeight="1">
      <c r="P930" s="71"/>
    </row>
    <row r="931" spans="16:16" ht="15.75" customHeight="1">
      <c r="P931" s="71"/>
    </row>
    <row r="932" spans="16:16" ht="15.75" customHeight="1">
      <c r="P932" s="71"/>
    </row>
    <row r="933" spans="16:16" ht="15.75" customHeight="1">
      <c r="P933" s="71"/>
    </row>
    <row r="934" spans="16:16" ht="15.75" customHeight="1">
      <c r="P934" s="71"/>
    </row>
    <row r="935" spans="16:16" ht="15.75" customHeight="1">
      <c r="P935" s="71"/>
    </row>
    <row r="936" spans="16:16" ht="15.75" customHeight="1">
      <c r="P936" s="71"/>
    </row>
    <row r="937" spans="16:16" ht="15.75" customHeight="1">
      <c r="P937" s="71"/>
    </row>
    <row r="938" spans="16:16" ht="15.75" customHeight="1">
      <c r="P938" s="71"/>
    </row>
    <row r="939" spans="16:16" ht="15.75" customHeight="1">
      <c r="P939" s="71"/>
    </row>
    <row r="940" spans="16:16" ht="15.75" customHeight="1">
      <c r="P940" s="71"/>
    </row>
    <row r="941" spans="16:16" ht="15.75" customHeight="1">
      <c r="P941" s="71"/>
    </row>
    <row r="942" spans="16:16" ht="15.75" customHeight="1">
      <c r="P942" s="71"/>
    </row>
    <row r="943" spans="16:16" ht="15.75" customHeight="1">
      <c r="P943" s="71"/>
    </row>
    <row r="944" spans="16:16" ht="15.75" customHeight="1">
      <c r="P944" s="71"/>
    </row>
    <row r="945" spans="16:16" ht="15.75" customHeight="1">
      <c r="P945" s="71"/>
    </row>
    <row r="946" spans="16:16" ht="15.75" customHeight="1">
      <c r="P946" s="71"/>
    </row>
    <row r="947" spans="16:16" ht="15.75" customHeight="1">
      <c r="P947" s="71"/>
    </row>
    <row r="948" spans="16:16" ht="15.75" customHeight="1">
      <c r="P948" s="71"/>
    </row>
    <row r="949" spans="16:16" ht="15.75" customHeight="1">
      <c r="P949" s="71"/>
    </row>
    <row r="950" spans="16:16" ht="15.75" customHeight="1">
      <c r="P950" s="71"/>
    </row>
    <row r="951" spans="16:16" ht="15.75" customHeight="1">
      <c r="P951" s="71"/>
    </row>
    <row r="952" spans="16:16" ht="15.75" customHeight="1">
      <c r="P952" s="71"/>
    </row>
    <row r="953" spans="16:16" ht="15.75" customHeight="1">
      <c r="P953" s="71"/>
    </row>
    <row r="954" spans="16:16" ht="15.75" customHeight="1">
      <c r="P954" s="71"/>
    </row>
    <row r="955" spans="16:16" ht="15.75" customHeight="1">
      <c r="P955" s="71"/>
    </row>
    <row r="956" spans="16:16" ht="15.75" customHeight="1">
      <c r="P956" s="71"/>
    </row>
    <row r="957" spans="16:16" ht="15.75" customHeight="1">
      <c r="P957" s="71"/>
    </row>
    <row r="958" spans="16:16" ht="15.75" customHeight="1">
      <c r="P958" s="71"/>
    </row>
    <row r="959" spans="16:16" ht="15.75" customHeight="1">
      <c r="P959" s="71"/>
    </row>
    <row r="960" spans="16:16" ht="15.75" customHeight="1">
      <c r="P960" s="71"/>
    </row>
    <row r="961" spans="16:16" ht="15.75" customHeight="1">
      <c r="P961" s="71"/>
    </row>
    <row r="962" spans="16:16" ht="15.75" customHeight="1">
      <c r="P962" s="71"/>
    </row>
    <row r="963" spans="16:16" ht="15.75" customHeight="1">
      <c r="P963" s="71"/>
    </row>
    <row r="964" spans="16:16" ht="15.75" customHeight="1">
      <c r="P964" s="71"/>
    </row>
    <row r="965" spans="16:16" ht="15.75" customHeight="1">
      <c r="P965" s="71"/>
    </row>
    <row r="966" spans="16:16" ht="15.75" customHeight="1">
      <c r="P966" s="71"/>
    </row>
    <row r="967" spans="16:16" ht="15.75" customHeight="1">
      <c r="P967" s="71"/>
    </row>
    <row r="968" spans="16:16" ht="15.75" customHeight="1">
      <c r="P968" s="71"/>
    </row>
    <row r="969" spans="16:16" ht="15.75" customHeight="1">
      <c r="P969" s="71"/>
    </row>
    <row r="970" spans="16:16" ht="15.75" customHeight="1">
      <c r="P970" s="71"/>
    </row>
    <row r="971" spans="16:16" ht="15.75" customHeight="1">
      <c r="P971" s="71"/>
    </row>
    <row r="972" spans="16:16" ht="15.75" customHeight="1">
      <c r="P972" s="71"/>
    </row>
    <row r="973" spans="16:16" ht="15.75" customHeight="1">
      <c r="P973" s="71"/>
    </row>
    <row r="974" spans="16:16" ht="15.75" customHeight="1">
      <c r="P974" s="71"/>
    </row>
    <row r="975" spans="16:16" ht="15.75" customHeight="1">
      <c r="P975" s="71"/>
    </row>
    <row r="976" spans="16:16" ht="15.75" customHeight="1">
      <c r="P976" s="71"/>
    </row>
    <row r="977" spans="16:16" ht="15.75" customHeight="1">
      <c r="P977" s="71"/>
    </row>
    <row r="978" spans="16:16" ht="15.75" customHeight="1">
      <c r="P978" s="71"/>
    </row>
    <row r="979" spans="16:16" ht="15.75" customHeight="1">
      <c r="P979" s="71"/>
    </row>
    <row r="980" spans="16:16" ht="15.75" customHeight="1">
      <c r="P980" s="71"/>
    </row>
    <row r="981" spans="16:16" ht="15.75" customHeight="1">
      <c r="P981" s="71"/>
    </row>
    <row r="982" spans="16:16" ht="15.75" customHeight="1">
      <c r="P982" s="71"/>
    </row>
    <row r="983" spans="16:16" ht="15.75" customHeight="1">
      <c r="P983" s="71"/>
    </row>
    <row r="984" spans="16:16" ht="15.75" customHeight="1">
      <c r="P984" s="71"/>
    </row>
    <row r="985" spans="16:16" ht="15.75" customHeight="1">
      <c r="P985" s="71"/>
    </row>
    <row r="986" spans="16:16" ht="15.75" customHeight="1">
      <c r="P986" s="71"/>
    </row>
    <row r="987" spans="16:16" ht="15.75" customHeight="1">
      <c r="P987" s="71"/>
    </row>
    <row r="988" spans="16:16" ht="15.75" customHeight="1">
      <c r="P988" s="71"/>
    </row>
    <row r="989" spans="16:16" ht="15.75" customHeight="1">
      <c r="P989" s="71"/>
    </row>
    <row r="990" spans="16:16" ht="15.75" customHeight="1">
      <c r="P990" s="71"/>
    </row>
    <row r="991" spans="16:16" ht="15.75" customHeight="1">
      <c r="P991" s="71"/>
    </row>
    <row r="992" spans="16:16" ht="15.75" customHeight="1">
      <c r="P992" s="71"/>
    </row>
    <row r="993" spans="16:16" ht="15.75" customHeight="1">
      <c r="P993" s="71"/>
    </row>
    <row r="994" spans="16:16" ht="15.75" customHeight="1">
      <c r="P994" s="71"/>
    </row>
    <row r="995" spans="16:16" ht="15.75" customHeight="1">
      <c r="P995" s="71"/>
    </row>
    <row r="996" spans="16:16" ht="15.75" customHeight="1">
      <c r="P996" s="71"/>
    </row>
    <row r="997" spans="16:16" ht="15.75" customHeight="1">
      <c r="P997" s="71"/>
    </row>
    <row r="998" spans="16:16" ht="15.75" customHeight="1">
      <c r="P998" s="71"/>
    </row>
    <row r="999" spans="16:16" ht="15.75" customHeight="1">
      <c r="P999" s="71"/>
    </row>
    <row r="1000" spans="16:16" ht="15.75" customHeight="1">
      <c r="P1000" s="71"/>
    </row>
  </sheetData>
  <pageMargins left="0.7" right="0.7" top="0.75" bottom="0.75" header="0" footer="0"/>
  <pageSetup orientation="portrait"/>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000"/>
  <sheetViews>
    <sheetView workbookViewId="0"/>
  </sheetViews>
  <sheetFormatPr defaultColWidth="12.625" defaultRowHeight="15" customHeight="1"/>
  <cols>
    <col min="1" max="1" width="23.125" customWidth="1"/>
    <col min="2" max="2" width="13.25" customWidth="1"/>
    <col min="3" max="3" width="17" customWidth="1"/>
    <col min="4" max="4" width="13.625" customWidth="1"/>
    <col min="5" max="5" width="15.125" customWidth="1"/>
    <col min="6" max="26" width="7.625" customWidth="1"/>
  </cols>
  <sheetData>
    <row r="1" spans="1:11">
      <c r="A1" s="11" t="s">
        <v>192</v>
      </c>
      <c r="B1" s="11" t="s">
        <v>69</v>
      </c>
      <c r="C1" s="11"/>
      <c r="D1" s="11" t="s">
        <v>193</v>
      </c>
      <c r="E1" s="11" t="s">
        <v>194</v>
      </c>
      <c r="F1" s="11" t="s">
        <v>195</v>
      </c>
      <c r="H1" s="11"/>
      <c r="K1" s="11" t="s">
        <v>9</v>
      </c>
    </row>
    <row r="2" spans="1:11">
      <c r="A2" s="78" t="s">
        <v>196</v>
      </c>
      <c r="B2" s="78" t="s">
        <v>197</v>
      </c>
      <c r="D2" s="78" t="s">
        <v>198</v>
      </c>
      <c r="E2" s="78" t="s">
        <v>199</v>
      </c>
      <c r="F2" s="78" t="s">
        <v>200</v>
      </c>
      <c r="K2" s="78" t="s">
        <v>201</v>
      </c>
    </row>
    <row r="3" spans="1:11">
      <c r="A3" s="78" t="s">
        <v>202</v>
      </c>
      <c r="B3" s="78" t="s">
        <v>81</v>
      </c>
      <c r="D3" s="78" t="s">
        <v>203</v>
      </c>
      <c r="E3" s="78" t="s">
        <v>68</v>
      </c>
      <c r="F3" s="78" t="s">
        <v>204</v>
      </c>
      <c r="K3" s="78" t="s">
        <v>205</v>
      </c>
    </row>
    <row r="4" spans="1:11">
      <c r="A4" s="78" t="s">
        <v>206</v>
      </c>
      <c r="D4" s="78" t="s">
        <v>207</v>
      </c>
      <c r="K4" s="78" t="s">
        <v>208</v>
      </c>
    </row>
    <row r="5" spans="1:11">
      <c r="A5" s="78" t="s">
        <v>75</v>
      </c>
      <c r="D5" s="78" t="s">
        <v>209</v>
      </c>
      <c r="K5" s="78" t="s">
        <v>210</v>
      </c>
    </row>
    <row r="6" spans="1:11">
      <c r="A6" s="78" t="s">
        <v>211</v>
      </c>
      <c r="D6" s="78" t="s">
        <v>212</v>
      </c>
      <c r="K6" s="78" t="s">
        <v>213</v>
      </c>
    </row>
    <row r="7" spans="1:11">
      <c r="A7" s="78" t="s">
        <v>214</v>
      </c>
      <c r="K7" s="78" t="s">
        <v>14</v>
      </c>
    </row>
    <row r="8" spans="1:11">
      <c r="A8" s="78" t="s">
        <v>215</v>
      </c>
      <c r="K8" s="2" t="s">
        <v>216</v>
      </c>
    </row>
    <row r="9" spans="1:11">
      <c r="A9" s="78" t="s">
        <v>217</v>
      </c>
    </row>
    <row r="10" spans="1:11">
      <c r="A10" s="78" t="s">
        <v>218</v>
      </c>
    </row>
    <row r="11" spans="1:11">
      <c r="A11" s="78" t="s">
        <v>219</v>
      </c>
    </row>
    <row r="12" spans="1:11">
      <c r="A12" s="78" t="s">
        <v>220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Under $10k</vt:lpstr>
      <vt:lpstr>Soft Bid</vt:lpstr>
      <vt:lpstr>Open Bid</vt:lpstr>
      <vt:lpstr>Sole Source</vt:lpstr>
      <vt:lpstr>Contractor</vt:lpstr>
      <vt:lpstr>Database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Lydia Tant</dc:creator>
  <cp:lastModifiedBy>isaac</cp:lastModifiedBy>
  <dcterms:created xsi:type="dcterms:W3CDTF">2013-02-26T18:53:15Z</dcterms:created>
  <dcterms:modified xsi:type="dcterms:W3CDTF">2020-04-30T04:41:05Z</dcterms:modified>
</cp:coreProperties>
</file>